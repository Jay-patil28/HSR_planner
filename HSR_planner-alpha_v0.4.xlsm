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projects\vba\HSR_planner\"/>
    </mc:Choice>
  </mc:AlternateContent>
  <xr:revisionPtr revIDLastSave="0" documentId="13_ncr:1_{788ED5CE-E1EC-4A74-BC35-A103F764139A}" xr6:coauthVersionLast="47" xr6:coauthVersionMax="47" xr10:uidLastSave="{00000000-0000-0000-0000-000000000000}"/>
  <bookViews>
    <workbookView xWindow="-120" yWindow="-120" windowWidth="29040" windowHeight="15720" xr2:uid="{F8859D87-14B6-4857-A5EA-D9CB8CA08E4B}"/>
  </bookViews>
  <sheets>
    <sheet name="Instruction (do not delet)" sheetId="1" r:id="rId1"/>
    <sheet name=" base (do not delet)" sheetId="4" r:id="rId2"/>
  </sheets>
  <definedNames>
    <definedName name="difficultys">' base (do not delet)'!$AD$39:$AI$39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4" l="1"/>
  <c r="G22" i="4"/>
  <c r="F39" i="4"/>
  <c r="F10" i="4"/>
  <c r="F49" i="4"/>
  <c r="F48" i="4"/>
  <c r="F45" i="4"/>
  <c r="F42" i="4"/>
  <c r="F4" i="4"/>
  <c r="F7" i="4"/>
  <c r="F15" i="4"/>
  <c r="G15" i="4" s="1"/>
  <c r="H15" i="4" s="1"/>
  <c r="I15" i="4" s="1"/>
  <c r="F13" i="4"/>
  <c r="F14" i="4"/>
  <c r="G14" i="4" l="1"/>
  <c r="H14" i="4" s="1"/>
  <c r="I14" i="4" s="1"/>
  <c r="G7" i="4"/>
  <c r="H7" i="4" s="1"/>
  <c r="I7" i="4" s="1"/>
  <c r="G10" i="4"/>
  <c r="H10" i="4" s="1"/>
  <c r="I10" i="4" s="1"/>
  <c r="G13" i="4"/>
  <c r="H13" i="4" s="1"/>
  <c r="I13" i="4" s="1"/>
  <c r="G4" i="4"/>
  <c r="H4" i="4" s="1"/>
  <c r="I4" i="4" s="1"/>
  <c r="J4" i="4" l="1"/>
  <c r="K4" i="4" s="1"/>
</calcChain>
</file>

<file path=xl/sharedStrings.xml><?xml version="1.0" encoding="utf-8"?>
<sst xmlns="http://schemas.openxmlformats.org/spreadsheetml/2006/main" count="133" uniqueCount="50">
  <si>
    <t>name/type</t>
  </si>
  <si>
    <t>daily power</t>
  </si>
  <si>
    <t>power required</t>
  </si>
  <si>
    <t>Days</t>
  </si>
  <si>
    <t>rounded values</t>
  </si>
  <si>
    <t>reqired materials (input)</t>
  </si>
  <si>
    <t>Meterial Type</t>
  </si>
  <si>
    <t>Boss : trace material</t>
  </si>
  <si>
    <t>mini boss : character ascension material</t>
  </si>
  <si>
    <t>path : trace material</t>
  </si>
  <si>
    <t>Exp Cards</t>
  </si>
  <si>
    <t>Cash</t>
  </si>
  <si>
    <t>Short form</t>
  </si>
  <si>
    <t>reqired materials (purple)</t>
  </si>
  <si>
    <t>Blue</t>
  </si>
  <si>
    <t>Green</t>
  </si>
  <si>
    <t xml:space="preserve">Purple </t>
  </si>
  <si>
    <t xml:space="preserve"> Materials Rarity</t>
  </si>
  <si>
    <t>EC</t>
  </si>
  <si>
    <t>MBCAM</t>
  </si>
  <si>
    <t>BTM</t>
  </si>
  <si>
    <t>PTM</t>
  </si>
  <si>
    <t>C</t>
  </si>
  <si>
    <t>total Power</t>
  </si>
  <si>
    <t>power       (per run)</t>
  </si>
  <si>
    <t>Drops           (per run)</t>
  </si>
  <si>
    <t>Drops (purpal)</t>
  </si>
  <si>
    <t>Power</t>
  </si>
  <si>
    <t>Daily power</t>
  </si>
  <si>
    <t>DP</t>
  </si>
  <si>
    <t>B</t>
  </si>
  <si>
    <t>battery</t>
  </si>
  <si>
    <t>dosent matter</t>
  </si>
  <si>
    <t>Full name</t>
  </si>
  <si>
    <t>Power per run</t>
  </si>
  <si>
    <t>Image</t>
  </si>
  <si>
    <t>Excluded</t>
  </si>
  <si>
    <t>https://docs.google.com/spreadsheets/d/e/2PACX-1vRG_cISC2N-_1Lef-GofaydNa-VZ_r9QfnPNnsPNMSw5JHeAu_nLPrOe9ObPM8XmqTMrO5NWGF8L4b3/pubhtml</t>
  </si>
  <si>
    <t>Max</t>
  </si>
  <si>
    <t>Difficulty</t>
  </si>
  <si>
    <t>drop table (found it online)</t>
  </si>
  <si>
    <t>total Runs</t>
  </si>
  <si>
    <t xml:space="preserve"> Main Drop table</t>
  </si>
  <si>
    <t>Difiiculty drop table</t>
  </si>
  <si>
    <t>note : don’t  change the following "select Difficulty" from above sliider</t>
  </si>
  <si>
    <t>Select Difficulty</t>
  </si>
  <si>
    <t>Current Difficulty</t>
  </si>
  <si>
    <t>Select then Confirm Difficulty in next Sheet</t>
  </si>
  <si>
    <t>total Days</t>
  </si>
  <si>
    <t>total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</si>
</sst>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u/>
      <sz val="18"/>
      <color theme="11"/>
      <name val="Calibri"/>
      <family val="2"/>
      <scheme val="minor"/>
    </font>
    <font>
      <b/>
      <sz val="18"/>
      <color rgb="FF9C5700"/>
      <name val="Calibri"/>
      <family val="2"/>
      <scheme val="minor"/>
    </font>
    <font>
      <b/>
      <i/>
      <sz val="18"/>
      <color rgb="FF7F7F7F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8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mbria"/>
      <family val="1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99FF"/>
        <bgColor indexed="64"/>
      </patternFill>
    </fill>
    <fill>
      <patternFill patternType="solid">
        <fgColor rgb="FFB1F9B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theme="4" tint="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7F7F7F"/>
      </right>
      <top style="thick">
        <color theme="4" tint="0.499984740745262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theme="1"/>
      </left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1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10" applyNumberFormat="0" applyAlignment="0" applyProtection="0"/>
    <xf numFmtId="0" fontId="12" fillId="5" borderId="10" applyNumberFormat="0" applyAlignment="0" applyProtection="0"/>
    <xf numFmtId="0" fontId="26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/>
    <xf numFmtId="0" fontId="0" fillId="0" borderId="0" xfId="0" applyProtection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wrapText="1"/>
    </xf>
    <xf numFmtId="0" fontId="0" fillId="0" borderId="2" xfId="0" applyBorder="1" applyProtection="1"/>
    <xf numFmtId="0" fontId="2" fillId="0" borderId="3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0" fillId="0" borderId="2" xfId="0" applyBorder="1"/>
    <xf numFmtId="0" fontId="0" fillId="0" borderId="0" xfId="0" applyBorder="1" applyProtection="1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3" fillId="0" borderId="12" xfId="2" applyFill="1" applyBorder="1" applyAlignment="1" applyProtection="1">
      <alignment horizontal="center" vertical="center" wrapText="1"/>
      <protection locked="0"/>
    </xf>
    <xf numFmtId="0" fontId="13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4" xfId="2" applyFont="1" applyFill="1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vertical="center" wrapText="1"/>
      <protection locked="0"/>
    </xf>
    <xf numFmtId="0" fontId="3" fillId="0" borderId="18" xfId="2" applyFill="1" applyBorder="1" applyAlignment="1" applyProtection="1">
      <alignment horizontal="center" vertical="center" wrapText="1"/>
      <protection locked="0"/>
    </xf>
    <xf numFmtId="0" fontId="8" fillId="0" borderId="23" xfId="6" applyBorder="1" applyAlignment="1">
      <alignment horizontal="center" vertical="center" wrapText="1"/>
    </xf>
    <xf numFmtId="0" fontId="13" fillId="0" borderId="24" xfId="2" applyFont="1" applyFill="1" applyBorder="1" applyAlignment="1" applyProtection="1">
      <alignment horizontal="center" vertical="center" wrapText="1"/>
      <protection locked="0"/>
    </xf>
    <xf numFmtId="0" fontId="14" fillId="0" borderId="24" xfId="2" applyFont="1" applyFill="1" applyBorder="1" applyAlignment="1" applyProtection="1">
      <alignment horizontal="center" vertical="center" wrapText="1"/>
      <protection locked="0"/>
    </xf>
    <xf numFmtId="0" fontId="13" fillId="0" borderId="15" xfId="2" applyFont="1" applyFill="1" applyBorder="1" applyAlignment="1" applyProtection="1">
      <alignment horizontal="center" vertical="center" wrapText="1"/>
      <protection locked="0"/>
    </xf>
    <xf numFmtId="0" fontId="8" fillId="0" borderId="27" xfId="6" applyBorder="1" applyAlignment="1">
      <alignment horizontal="center" vertical="center" wrapText="1"/>
    </xf>
    <xf numFmtId="0" fontId="13" fillId="8" borderId="24" xfId="2" applyFont="1" applyFill="1" applyBorder="1" applyAlignment="1" applyProtection="1">
      <alignment horizontal="center" vertical="center" wrapText="1"/>
      <protection locked="0"/>
    </xf>
    <xf numFmtId="0" fontId="14" fillId="8" borderId="24" xfId="2" applyFont="1" applyFill="1" applyBorder="1" applyAlignment="1" applyProtection="1">
      <alignment horizontal="center" vertical="center" wrapText="1"/>
      <protection locked="0"/>
    </xf>
    <xf numFmtId="0" fontId="3" fillId="8" borderId="18" xfId="2" applyFill="1" applyBorder="1" applyAlignment="1" applyProtection="1">
      <alignment horizontal="center" vertical="center" wrapText="1"/>
      <protection locked="0"/>
    </xf>
    <xf numFmtId="0" fontId="13" fillId="8" borderId="15" xfId="2" applyFont="1" applyFill="1" applyBorder="1" applyAlignment="1" applyProtection="1">
      <alignment horizontal="center" vertical="center" wrapText="1"/>
      <protection locked="0"/>
    </xf>
    <xf numFmtId="0" fontId="11" fillId="8" borderId="18" xfId="2" applyFont="1" applyFill="1" applyBorder="1" applyAlignment="1" applyProtection="1">
      <alignment horizontal="center" vertical="center" wrapText="1"/>
      <protection locked="0"/>
    </xf>
    <xf numFmtId="0" fontId="16" fillId="7" borderId="13" xfId="2" applyFont="1" applyFill="1" applyBorder="1" applyAlignment="1" applyProtection="1">
      <alignment horizontal="center" vertical="center" wrapText="1"/>
      <protection locked="0"/>
    </xf>
    <xf numFmtId="0" fontId="17" fillId="7" borderId="4" xfId="2" applyFont="1" applyFill="1" applyBorder="1" applyAlignment="1" applyProtection="1">
      <alignment horizontal="center" vertical="center" wrapText="1"/>
      <protection locked="0"/>
    </xf>
    <xf numFmtId="0" fontId="15" fillId="7" borderId="12" xfId="2" applyFont="1" applyFill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</xf>
    <xf numFmtId="0" fontId="18" fillId="6" borderId="30" xfId="9" applyFont="1" applyFill="1" applyBorder="1" applyAlignment="1" applyProtection="1">
      <alignment horizontal="center" vertical="center" wrapText="1"/>
      <protection locked="0"/>
    </xf>
    <xf numFmtId="0" fontId="21" fillId="0" borderId="30" xfId="4" applyFont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6" fillId="7" borderId="36" xfId="2" applyFont="1" applyFill="1" applyBorder="1" applyAlignment="1" applyProtection="1">
      <alignment horizontal="center" vertical="center" wrapText="1"/>
      <protection locked="0"/>
    </xf>
    <xf numFmtId="0" fontId="18" fillId="6" borderId="37" xfId="9" applyFont="1" applyFill="1" applyBorder="1" applyAlignment="1" applyProtection="1">
      <alignment horizontal="center" vertical="center" wrapText="1"/>
      <protection locked="0"/>
    </xf>
    <xf numFmtId="0" fontId="19" fillId="0" borderId="36" xfId="5" applyFont="1" applyBorder="1" applyAlignment="1">
      <alignment horizontal="center" vertical="center" wrapText="1"/>
    </xf>
    <xf numFmtId="0" fontId="20" fillId="3" borderId="36" xfId="3" applyFont="1" applyBorder="1" applyAlignment="1">
      <alignment horizontal="center" vertical="center" wrapText="1"/>
    </xf>
    <xf numFmtId="0" fontId="9" fillId="0" borderId="22" xfId="7" applyFont="1" applyBorder="1" applyAlignment="1">
      <alignment vertical="center" wrapText="1"/>
    </xf>
    <xf numFmtId="0" fontId="10" fillId="4" borderId="34" xfId="8" applyBorder="1" applyAlignment="1" applyProtection="1">
      <alignment vertical="center" wrapText="1"/>
      <protection locked="0"/>
    </xf>
    <xf numFmtId="0" fontId="13" fillId="0" borderId="18" xfId="2" applyFont="1" applyFill="1" applyBorder="1" applyAlignment="1" applyProtection="1">
      <alignment horizontal="center" vertical="center" wrapText="1"/>
      <protection locked="0"/>
    </xf>
    <xf numFmtId="0" fontId="13" fillId="8" borderId="18" xfId="2" applyFont="1" applyFill="1" applyBorder="1" applyAlignment="1" applyProtection="1">
      <alignment horizontal="center" vertical="center" wrapText="1"/>
      <protection locked="0"/>
    </xf>
    <xf numFmtId="0" fontId="10" fillId="4" borderId="39" xfId="8" applyBorder="1" applyAlignment="1" applyProtection="1">
      <alignment vertical="center" wrapText="1"/>
      <protection locked="0"/>
    </xf>
    <xf numFmtId="0" fontId="22" fillId="0" borderId="38" xfId="0" applyFont="1" applyBorder="1" applyAlignment="1">
      <alignment vertical="center" wrapText="1"/>
    </xf>
    <xf numFmtId="0" fontId="13" fillId="0" borderId="40" xfId="2" applyFont="1" applyFill="1" applyBorder="1" applyAlignment="1" applyProtection="1">
      <alignment horizontal="center" vertical="center" wrapText="1"/>
      <protection locked="0"/>
    </xf>
    <xf numFmtId="0" fontId="13" fillId="8" borderId="40" xfId="2" applyFont="1" applyFill="1" applyBorder="1" applyAlignment="1" applyProtection="1">
      <alignment horizontal="center" vertical="center" wrapText="1"/>
      <protection locked="0"/>
    </xf>
    <xf numFmtId="0" fontId="10" fillId="4" borderId="41" xfId="8" applyBorder="1" applyAlignment="1" applyProtection="1">
      <alignment vertical="center" wrapText="1"/>
      <protection locked="0"/>
    </xf>
    <xf numFmtId="0" fontId="9" fillId="0" borderId="22" xfId="7" applyBorder="1" applyAlignment="1">
      <alignment horizontal="center" vertical="center" wrapText="1"/>
    </xf>
    <xf numFmtId="0" fontId="22" fillId="0" borderId="32" xfId="0" applyFont="1" applyBorder="1" applyAlignment="1">
      <alignment horizontal="center" vertical="center" wrapText="1"/>
    </xf>
    <xf numFmtId="0" fontId="9" fillId="0" borderId="38" xfId="7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26" fillId="0" borderId="0" xfId="10"/>
    <xf numFmtId="0" fontId="13" fillId="0" borderId="47" xfId="2" applyFont="1" applyFill="1" applyBorder="1" applyAlignment="1" applyProtection="1">
      <alignment horizontal="center" vertical="center" wrapText="1"/>
      <protection locked="0"/>
    </xf>
    <xf numFmtId="0" fontId="14" fillId="0" borderId="47" xfId="2" applyFont="1" applyFill="1" applyBorder="1" applyAlignment="1" applyProtection="1">
      <alignment horizontal="center" vertical="center" wrapText="1"/>
      <protection locked="0"/>
    </xf>
    <xf numFmtId="0" fontId="3" fillId="0" borderId="48" xfId="2" applyFill="1" applyBorder="1" applyAlignment="1" applyProtection="1">
      <alignment horizontal="center" vertical="center" wrapText="1"/>
      <protection locked="0"/>
    </xf>
    <xf numFmtId="0" fontId="13" fillId="0" borderId="43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48" xfId="2" applyFont="1" applyFill="1" applyBorder="1" applyAlignment="1" applyProtection="1">
      <alignment horizontal="center" vertical="center" wrapText="1"/>
      <protection locked="0"/>
    </xf>
    <xf numFmtId="0" fontId="11" fillId="0" borderId="48" xfId="2" applyFont="1" applyFill="1" applyBorder="1" applyAlignment="1" applyProtection="1">
      <alignment horizontal="center" vertical="center" wrapText="1"/>
      <protection locked="0"/>
    </xf>
    <xf numFmtId="0" fontId="23" fillId="0" borderId="55" xfId="0" applyFont="1" applyBorder="1" applyAlignment="1" applyProtection="1">
      <alignment horizontal="center" vertical="center" wrapText="1"/>
      <protection locked="0"/>
    </xf>
    <xf numFmtId="0" fontId="23" fillId="0" borderId="54" xfId="0" applyFont="1" applyBorder="1" applyAlignment="1" applyProtection="1">
      <alignment horizontal="center" vertical="center" wrapText="1"/>
      <protection locked="0"/>
    </xf>
    <xf numFmtId="0" fontId="23" fillId="0" borderId="46" xfId="0" applyFont="1" applyBorder="1" applyAlignment="1" applyProtection="1">
      <alignment horizontal="center" vertical="center" wrapText="1"/>
      <protection locked="0"/>
    </xf>
    <xf numFmtId="0" fontId="13" fillId="0" borderId="57" xfId="2" applyFont="1" applyFill="1" applyBorder="1" applyAlignment="1" applyProtection="1">
      <alignment horizontal="center" vertical="center" wrapText="1"/>
      <protection locked="0"/>
    </xf>
    <xf numFmtId="0" fontId="13" fillId="8" borderId="58" xfId="2" applyFont="1" applyFill="1" applyBorder="1" applyAlignment="1" applyProtection="1">
      <alignment horizontal="center" vertical="center" wrapText="1"/>
      <protection locked="0"/>
    </xf>
    <xf numFmtId="0" fontId="2" fillId="0" borderId="60" xfId="1" applyBorder="1" applyAlignment="1">
      <alignment horizontal="center" vertical="center" wrapText="1"/>
    </xf>
    <xf numFmtId="0" fontId="0" fillId="0" borderId="63" xfId="0" applyFont="1" applyBorder="1" applyAlignment="1" applyProtection="1">
      <alignment horizontal="center" vertical="center" wrapText="1"/>
    </xf>
    <xf numFmtId="0" fontId="11" fillId="7" borderId="64" xfId="2" applyFont="1" applyFill="1" applyBorder="1" applyAlignment="1" applyProtection="1">
      <alignment horizontal="center" vertical="center" wrapText="1"/>
      <protection locked="0"/>
    </xf>
    <xf numFmtId="0" fontId="14" fillId="0" borderId="46" xfId="2" applyFont="1" applyFill="1" applyBorder="1" applyAlignment="1" applyProtection="1">
      <alignment horizontal="center" vertical="center" wrapText="1"/>
      <protection locked="0"/>
    </xf>
    <xf numFmtId="0" fontId="1" fillId="0" borderId="45" xfId="0" applyFont="1" applyBorder="1" applyAlignment="1" applyProtection="1">
      <alignment horizontal="center" vertical="center" wrapText="1"/>
    </xf>
    <xf numFmtId="0" fontId="16" fillId="7" borderId="65" xfId="2" applyFont="1" applyFill="1" applyBorder="1" applyAlignment="1" applyProtection="1">
      <alignment horizontal="center" vertical="center" wrapText="1"/>
      <protection locked="0"/>
    </xf>
    <xf numFmtId="0" fontId="13" fillId="0" borderId="46" xfId="2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0" fontId="2" fillId="0" borderId="66" xfId="1" applyBorder="1" applyAlignment="1">
      <alignment horizontal="center" vertical="center" wrapText="1"/>
    </xf>
    <xf numFmtId="0" fontId="27" fillId="9" borderId="36" xfId="3" applyFont="1" applyFill="1" applyBorder="1" applyAlignment="1">
      <alignment horizontal="center" vertical="center" wrapText="1"/>
    </xf>
    <xf numFmtId="0" fontId="27" fillId="9" borderId="8" xfId="3" applyFont="1" applyFill="1" applyBorder="1" applyAlignment="1">
      <alignment horizontal="center" vertical="center" wrapText="1"/>
    </xf>
    <xf numFmtId="0" fontId="27" fillId="9" borderId="31" xfId="3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59" xfId="1" applyBorder="1" applyAlignment="1" applyProtection="1">
      <alignment horizontal="center" vertical="center" wrapText="1"/>
      <protection locked="0"/>
    </xf>
    <xf numFmtId="0" fontId="2" fillId="0" borderId="12" xfId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/>
    <xf numFmtId="0" fontId="30" fillId="0" borderId="3" xfId="1" applyFont="1" applyBorder="1" applyAlignment="1">
      <alignment horizontal="center" vertical="center" wrapText="1"/>
    </xf>
    <xf numFmtId="0" fontId="2" fillId="0" borderId="42" xfId="1" applyBorder="1" applyAlignment="1">
      <alignment horizontal="center" vertical="center" wrapText="1"/>
    </xf>
    <xf numFmtId="0" fontId="2" fillId="0" borderId="44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45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 wrapText="1"/>
    </xf>
    <xf numFmtId="0" fontId="9" fillId="0" borderId="53" xfId="7" applyBorder="1" applyAlignment="1">
      <alignment horizontal="center" vertical="center" wrapText="1"/>
    </xf>
    <xf numFmtId="0" fontId="9" fillId="0" borderId="54" xfId="7" applyBorder="1" applyAlignment="1">
      <alignment horizontal="center" vertical="center" wrapText="1"/>
    </xf>
    <xf numFmtId="0" fontId="1" fillId="0" borderId="67" xfId="0" applyFont="1" applyBorder="1" applyAlignment="1">
      <alignment horizontal="center" wrapText="1"/>
    </xf>
    <xf numFmtId="0" fontId="2" fillId="0" borderId="50" xfId="1" applyBorder="1" applyAlignment="1">
      <alignment horizontal="center" vertical="center" wrapText="1"/>
    </xf>
    <xf numFmtId="0" fontId="2" fillId="0" borderId="51" xfId="1" applyBorder="1" applyAlignment="1">
      <alignment horizontal="center" vertical="center" wrapText="1"/>
    </xf>
    <xf numFmtId="0" fontId="2" fillId="0" borderId="52" xfId="1" applyBorder="1" applyAlignment="1">
      <alignment horizontal="center" vertical="center" wrapText="1"/>
    </xf>
    <xf numFmtId="0" fontId="2" fillId="0" borderId="54" xfId="1" applyBorder="1" applyAlignment="1">
      <alignment horizontal="center" vertical="center" wrapText="1"/>
    </xf>
    <xf numFmtId="0" fontId="2" fillId="0" borderId="61" xfId="1" applyBorder="1" applyAlignment="1">
      <alignment horizontal="center" vertical="center" wrapText="1"/>
    </xf>
    <xf numFmtId="0" fontId="2" fillId="0" borderId="62" xfId="1" applyBorder="1" applyAlignment="1">
      <alignment horizontal="center" vertical="center" wrapText="1"/>
    </xf>
    <xf numFmtId="0" fontId="2" fillId="0" borderId="56" xfId="1" applyBorder="1" applyAlignment="1">
      <alignment horizontal="center" vertical="center" wrapText="1"/>
    </xf>
    <xf numFmtId="0" fontId="0" fillId="0" borderId="0" xfId="0"/>
    <xf numFmtId="0" fontId="10" fillId="4" borderId="16" xfId="8" applyBorder="1" applyAlignment="1" applyProtection="1">
      <alignment horizontal="center" vertical="center" wrapText="1"/>
      <protection locked="0"/>
    </xf>
    <xf numFmtId="0" fontId="10" fillId="4" borderId="17" xfId="8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horizontal="center" vertical="center" wrapText="1"/>
      <protection locked="0"/>
    </xf>
    <xf numFmtId="0" fontId="19" fillId="0" borderId="11" xfId="5" applyFont="1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9" fillId="0" borderId="12" xfId="5" applyFont="1" applyBorder="1" applyAlignment="1">
      <alignment horizontal="center" vertical="center" wrapText="1"/>
    </xf>
    <xf numFmtId="0" fontId="27" fillId="9" borderId="11" xfId="3" applyFont="1" applyFill="1" applyBorder="1" applyAlignment="1">
      <alignment horizontal="center" vertical="center" wrapText="1"/>
    </xf>
    <xf numFmtId="0" fontId="27" fillId="9" borderId="8" xfId="3" applyFont="1" applyFill="1" applyBorder="1" applyAlignment="1">
      <alignment horizontal="center" vertical="center" wrapText="1"/>
    </xf>
    <xf numFmtId="0" fontId="27" fillId="9" borderId="12" xfId="3" applyFont="1" applyFill="1" applyBorder="1" applyAlignment="1">
      <alignment horizontal="center" vertical="center" wrapText="1"/>
    </xf>
    <xf numFmtId="0" fontId="27" fillId="9" borderId="14" xfId="3" applyFont="1" applyFill="1" applyBorder="1" applyAlignment="1">
      <alignment horizontal="center" vertical="center" wrapText="1"/>
    </xf>
    <xf numFmtId="0" fontId="19" fillId="0" borderId="14" xfId="5" applyFont="1" applyBorder="1" applyAlignment="1">
      <alignment horizontal="center" vertical="center" wrapText="1"/>
    </xf>
    <xf numFmtId="0" fontId="20" fillId="3" borderId="11" xfId="3" applyFont="1" applyBorder="1" applyAlignment="1">
      <alignment horizontal="center" vertical="center" wrapText="1"/>
    </xf>
    <xf numFmtId="0" fontId="20" fillId="3" borderId="8" xfId="3" applyFont="1" applyBorder="1" applyAlignment="1">
      <alignment horizontal="center" vertical="center" wrapText="1"/>
    </xf>
    <xf numFmtId="0" fontId="20" fillId="3" borderId="35" xfId="3" applyFont="1" applyBorder="1" applyAlignment="1">
      <alignment horizontal="center" vertical="center" wrapText="1"/>
    </xf>
    <xf numFmtId="0" fontId="7" fillId="3" borderId="11" xfId="3" applyFont="1" applyBorder="1" applyAlignment="1">
      <alignment horizontal="center" vertical="center" wrapText="1"/>
    </xf>
    <xf numFmtId="0" fontId="7" fillId="3" borderId="8" xfId="3" applyFont="1" applyBorder="1" applyAlignment="1">
      <alignment horizontal="center" vertical="center" wrapText="1"/>
    </xf>
    <xf numFmtId="0" fontId="7" fillId="3" borderId="35" xfId="3" applyFont="1" applyBorder="1" applyAlignment="1">
      <alignment horizontal="center" vertical="center" wrapText="1"/>
    </xf>
    <xf numFmtId="0" fontId="20" fillId="3" borderId="12" xfId="3" applyFont="1" applyBorder="1" applyAlignment="1">
      <alignment horizontal="center" vertical="center" wrapText="1"/>
    </xf>
    <xf numFmtId="0" fontId="20" fillId="3" borderId="14" xfId="3" applyFont="1" applyBorder="1" applyAlignment="1">
      <alignment horizontal="center" vertical="center" wrapText="1"/>
    </xf>
    <xf numFmtId="0" fontId="2" fillId="0" borderId="0" xfId="1" applyBorder="1" applyAlignment="1">
      <alignment horizontal="center" wrapText="1"/>
    </xf>
    <xf numFmtId="0" fontId="2" fillId="0" borderId="28" xfId="1" applyBorder="1" applyAlignment="1">
      <alignment horizontal="center" wrapText="1"/>
    </xf>
    <xf numFmtId="0" fontId="9" fillId="0" borderId="20" xfId="7" applyBorder="1" applyAlignment="1">
      <alignment horizontal="center" vertical="center" wrapText="1"/>
    </xf>
    <xf numFmtId="0" fontId="9" fillId="0" borderId="21" xfId="7" applyBorder="1" applyAlignment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10" fillId="4" borderId="25" xfId="8" applyBorder="1" applyAlignment="1" applyProtection="1">
      <alignment horizontal="center" vertical="center" wrapText="1"/>
      <protection locked="0"/>
    </xf>
    <xf numFmtId="0" fontId="10" fillId="4" borderId="26" xfId="8" applyBorder="1" applyAlignment="1" applyProtection="1">
      <alignment horizontal="center" vertical="center" wrapText="1"/>
      <protection locked="0"/>
    </xf>
    <xf numFmtId="0" fontId="10" fillId="4" borderId="33" xfId="8" applyBorder="1" applyAlignment="1" applyProtection="1">
      <alignment horizontal="center" vertical="center" wrapText="1"/>
      <protection locked="0"/>
    </xf>
    <xf numFmtId="0" fontId="10" fillId="4" borderId="34" xfId="8" applyBorder="1" applyAlignment="1" applyProtection="1">
      <alignment horizontal="center" vertical="center" wrapText="1"/>
      <protection locked="0"/>
    </xf>
    <xf numFmtId="0" fontId="15" fillId="7" borderId="11" xfId="2" applyFont="1" applyFill="1" applyBorder="1" applyAlignment="1" applyProtection="1">
      <alignment horizontal="center" vertical="center" wrapText="1"/>
      <protection locked="0"/>
    </xf>
    <xf numFmtId="0" fontId="15" fillId="7" borderId="8" xfId="2" applyFont="1" applyFill="1" applyBorder="1" applyAlignment="1" applyProtection="1">
      <alignment horizontal="center" vertical="center" wrapText="1"/>
      <protection locked="0"/>
    </xf>
    <xf numFmtId="0" fontId="15" fillId="7" borderId="35" xfId="2" applyFont="1" applyFill="1" applyBorder="1" applyAlignment="1" applyProtection="1">
      <alignment horizontal="center" vertical="center" wrapText="1"/>
      <protection locked="0"/>
    </xf>
    <xf numFmtId="0" fontId="28" fillId="0" borderId="0" xfId="0" applyFont="1" applyAlignment="1">
      <alignment horizontal="center" vertic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8" fillId="6" borderId="11" xfId="9" applyFont="1" applyFill="1" applyBorder="1" applyAlignment="1" applyProtection="1">
      <alignment horizontal="center" vertical="center" wrapText="1"/>
      <protection locked="0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8" fillId="6" borderId="12" xfId="9" applyFont="1" applyFill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7" xfId="1" applyFont="1" applyBorder="1" applyAlignment="1">
      <alignment horizontal="center" vertical="center" wrapText="1"/>
    </xf>
  </cellXfs>
  <cellStyles count="11">
    <cellStyle name="Calculation" xfId="8" builtinId="22"/>
    <cellStyle name="Explanatory Text" xfId="4" builtinId="53"/>
    <cellStyle name="Followed Hyperlink" xfId="5" builtinId="9"/>
    <cellStyle name="Good" xfId="2" builtinId="26"/>
    <cellStyle name="Heading 1" xfId="1" builtinId="16"/>
    <cellStyle name="Heading 2" xfId="6" builtinId="17"/>
    <cellStyle name="Heading 4" xfId="7" builtinId="19"/>
    <cellStyle name="Hyperlink" xfId="10" builtinId="8"/>
    <cellStyle name="Input" xfId="9" builtinId="20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800000"/>
      <color rgb="FFFF6600"/>
      <color rgb="FFB1F9B8"/>
      <color rgb="FFD8EA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16</xdr:row>
      <xdr:rowOff>38100</xdr:rowOff>
    </xdr:from>
    <xdr:to>
      <xdr:col>6</xdr:col>
      <xdr:colOff>405202</xdr:colOff>
      <xdr:row>16</xdr:row>
      <xdr:rowOff>639535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5271" r="61411"/>
        <a:stretch/>
      </xdr:blipFill>
      <xdr:spPr>
        <a:xfrm>
          <a:off x="5506811" y="7426779"/>
          <a:ext cx="3430070" cy="601435"/>
        </a:xfrm>
        <a:prstGeom prst="rect">
          <a:avLst/>
        </a:prstGeom>
      </xdr:spPr>
    </xdr:pic>
    <xdr:clientData/>
  </xdr:twoCellAnchor>
  <xdr:twoCellAnchor editAs="oneCell">
    <xdr:from>
      <xdr:col>2</xdr:col>
      <xdr:colOff>68037</xdr:colOff>
      <xdr:row>14</xdr:row>
      <xdr:rowOff>88447</xdr:rowOff>
    </xdr:from>
    <xdr:to>
      <xdr:col>8</xdr:col>
      <xdr:colOff>544286</xdr:colOff>
      <xdr:row>14</xdr:row>
      <xdr:rowOff>1059997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0746" r="6451" b="34017"/>
        <a:stretch/>
      </xdr:blipFill>
      <xdr:spPr>
        <a:xfrm>
          <a:off x="3823608" y="7749268"/>
          <a:ext cx="4735285" cy="971550"/>
        </a:xfrm>
        <a:prstGeom prst="rect">
          <a:avLst/>
        </a:prstGeom>
      </xdr:spPr>
    </xdr:pic>
    <xdr:clientData/>
  </xdr:twoCellAnchor>
  <xdr:twoCellAnchor editAs="oneCell">
    <xdr:from>
      <xdr:col>2</xdr:col>
      <xdr:colOff>54429</xdr:colOff>
      <xdr:row>15</xdr:row>
      <xdr:rowOff>122463</xdr:rowOff>
    </xdr:from>
    <xdr:to>
      <xdr:col>8</xdr:col>
      <xdr:colOff>530679</xdr:colOff>
      <xdr:row>15</xdr:row>
      <xdr:rowOff>748392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-188" t="64946" r="6640" b="12352"/>
        <a:stretch/>
      </xdr:blipFill>
      <xdr:spPr>
        <a:xfrm>
          <a:off x="3810000" y="8899070"/>
          <a:ext cx="4735286" cy="625929"/>
        </a:xfrm>
        <a:prstGeom prst="rect">
          <a:avLst/>
        </a:prstGeom>
      </xdr:spPr>
    </xdr:pic>
    <xdr:clientData/>
  </xdr:twoCellAnchor>
  <xdr:twoCellAnchor editAs="oneCell">
    <xdr:from>
      <xdr:col>1</xdr:col>
      <xdr:colOff>335618</xdr:colOff>
      <xdr:row>6</xdr:row>
      <xdr:rowOff>108137</xdr:rowOff>
    </xdr:from>
    <xdr:to>
      <xdr:col>7</xdr:col>
      <xdr:colOff>535643</xdr:colOff>
      <xdr:row>6</xdr:row>
      <xdr:rowOff>993962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955" b="67872"/>
        <a:stretch/>
      </xdr:blipFill>
      <xdr:spPr>
        <a:xfrm>
          <a:off x="3092265" y="9072843"/>
          <a:ext cx="4861672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114300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114300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114300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212913</xdr:colOff>
      <xdr:row>17</xdr:row>
      <xdr:rowOff>44824</xdr:rowOff>
    </xdr:from>
    <xdr:to>
      <xdr:col>2</xdr:col>
      <xdr:colOff>986118</xdr:colOff>
      <xdr:row>17</xdr:row>
      <xdr:rowOff>604164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41" t="58637" r="43483" b="30409"/>
        <a:stretch/>
      </xdr:blipFill>
      <xdr:spPr>
        <a:xfrm>
          <a:off x="5726207" y="8113059"/>
          <a:ext cx="773205" cy="559340"/>
        </a:xfrm>
        <a:prstGeom prst="rect">
          <a:avLst/>
        </a:prstGeom>
      </xdr:spPr>
    </xdr:pic>
    <xdr:clientData/>
  </xdr:twoCellAnchor>
  <xdr:twoCellAnchor editAs="oneCell">
    <xdr:from>
      <xdr:col>2</xdr:col>
      <xdr:colOff>437031</xdr:colOff>
      <xdr:row>12</xdr:row>
      <xdr:rowOff>33619</xdr:rowOff>
    </xdr:from>
    <xdr:to>
      <xdr:col>3</xdr:col>
      <xdr:colOff>360558</xdr:colOff>
      <xdr:row>12</xdr:row>
      <xdr:rowOff>638737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54" t="37642" r="39774" b="51221"/>
        <a:stretch/>
      </xdr:blipFill>
      <xdr:spPr>
        <a:xfrm>
          <a:off x="5950325" y="3933266"/>
          <a:ext cx="1120956" cy="605118"/>
        </a:xfrm>
        <a:prstGeom prst="rect">
          <a:avLst/>
        </a:prstGeom>
      </xdr:spPr>
    </xdr:pic>
    <xdr:clientData/>
  </xdr:twoCellAnchor>
  <xdr:twoCellAnchor editAs="oneCell">
    <xdr:from>
      <xdr:col>2</xdr:col>
      <xdr:colOff>257735</xdr:colOff>
      <xdr:row>13</xdr:row>
      <xdr:rowOff>67236</xdr:rowOff>
    </xdr:from>
    <xdr:to>
      <xdr:col>4</xdr:col>
      <xdr:colOff>140073</xdr:colOff>
      <xdr:row>14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55" t="79921" r="34900" b="8942"/>
        <a:stretch/>
      </xdr:blipFill>
      <xdr:spPr>
        <a:xfrm>
          <a:off x="5771029" y="4639236"/>
          <a:ext cx="1692088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0</xdr:row>
      <xdr:rowOff>89648</xdr:rowOff>
    </xdr:from>
    <xdr:to>
      <xdr:col>8</xdr:col>
      <xdr:colOff>235323</xdr:colOff>
      <xdr:row>2</xdr:row>
      <xdr:rowOff>165540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8352" y="89648"/>
          <a:ext cx="5255559" cy="13533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&amp; Input needed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20</xdr:row>
          <xdr:rowOff>0</xdr:rowOff>
        </xdr:from>
        <xdr:to>
          <xdr:col>2</xdr:col>
          <xdr:colOff>2752725</xdr:colOff>
          <xdr:row>21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 Difficulty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381000</xdr:rowOff>
        </xdr:from>
        <xdr:to>
          <xdr:col>2</xdr:col>
          <xdr:colOff>2743200</xdr:colOff>
          <xdr:row>21</xdr:row>
          <xdr:rowOff>419100</xdr:rowOff>
        </xdr:to>
        <xdr:sp macro="" textlink="">
          <xdr:nvSpPr>
            <xdr:cNvPr id="4105" name="diff_select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e/2PACX-1vRG_cISC2N-_1Lef-GofaydNa-VZ_r9QfnPNnsPNMSw5JHeAu_nLPrOe9ObPM8XmqTMrO5NWGF8L4b3/pubhtml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4927B-5B27-49F3-AF8D-F9E52E4ED845}">
  <sheetPr codeName="Sheet11"/>
  <dimension ref="A1:V22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1" width="41.28515625" customWidth="1"/>
    <col min="2" max="2" width="15.140625" customWidth="1"/>
    <col min="3" max="3" width="17.85546875" customWidth="1"/>
    <col min="14" max="14" width="28.140625" customWidth="1"/>
  </cols>
  <sheetData>
    <row r="1" spans="1:22" s="66" customFormat="1" ht="15.75" thickBot="1" x14ac:dyDescent="0.3">
      <c r="N1" s="65"/>
      <c r="O1" s="68"/>
    </row>
    <row r="2" spans="1:22" s="66" customFormat="1" ht="84.75" customHeight="1" thickTop="1" thickBot="1" x14ac:dyDescent="0.3">
      <c r="A2" s="9" t="s">
        <v>47</v>
      </c>
      <c r="N2" s="1"/>
      <c r="O2" s="1"/>
      <c r="P2" s="1"/>
      <c r="Q2" s="1"/>
      <c r="R2" s="1"/>
      <c r="S2" s="1"/>
      <c r="T2" s="1"/>
      <c r="U2" s="1"/>
      <c r="V2" s="1"/>
    </row>
    <row r="3" spans="1:22" ht="15.75" thickTop="1" x14ac:dyDescent="0.25">
      <c r="A3" s="97"/>
      <c r="N3" s="97"/>
      <c r="O3" s="97"/>
      <c r="P3" s="97"/>
      <c r="Q3" s="97"/>
      <c r="R3" s="97"/>
      <c r="S3" s="97"/>
      <c r="T3" s="97"/>
      <c r="U3" s="97"/>
      <c r="V3" s="97"/>
    </row>
    <row r="4" spans="1:22" x14ac:dyDescent="0.25">
      <c r="A4" s="97"/>
      <c r="N4" s="97"/>
      <c r="O4" s="97"/>
      <c r="P4" s="97"/>
      <c r="Q4" s="97"/>
      <c r="R4" s="97"/>
      <c r="S4" s="97"/>
      <c r="T4" s="97"/>
      <c r="U4" s="97"/>
      <c r="V4" s="97"/>
    </row>
    <row r="5" spans="1:22" x14ac:dyDescent="0.25">
      <c r="N5" s="97"/>
      <c r="O5" s="97"/>
      <c r="P5" s="97"/>
      <c r="Q5" s="97"/>
      <c r="R5" s="97"/>
      <c r="S5" s="97"/>
      <c r="T5" s="97"/>
      <c r="U5" s="97"/>
      <c r="V5" s="97"/>
    </row>
    <row r="6" spans="1:22" ht="15.75" thickBot="1" x14ac:dyDescent="0.3">
      <c r="A6" s="66"/>
      <c r="B6" s="66"/>
      <c r="C6" s="66"/>
      <c r="D6" s="66"/>
    </row>
    <row r="7" spans="1:22" ht="87" customHeight="1" thickTop="1" thickBot="1" x14ac:dyDescent="0.3">
      <c r="A7" s="9" t="s">
        <v>36</v>
      </c>
      <c r="B7" s="102"/>
      <c r="C7" s="103"/>
      <c r="D7" s="103"/>
      <c r="E7" s="103"/>
      <c r="F7" s="103"/>
      <c r="G7" s="103"/>
      <c r="H7" s="103"/>
      <c r="I7" s="103"/>
    </row>
    <row r="8" spans="1:22" ht="15.75" thickTop="1" x14ac:dyDescent="0.25">
      <c r="A8" s="66"/>
      <c r="B8" s="66"/>
      <c r="C8" s="66"/>
      <c r="D8" s="66"/>
    </row>
    <row r="11" spans="1:22" ht="15.75" thickBot="1" x14ac:dyDescent="0.3"/>
    <row r="12" spans="1:22" ht="21" thickTop="1" thickBot="1" x14ac:dyDescent="0.3">
      <c r="A12" s="9" t="s">
        <v>6</v>
      </c>
      <c r="B12" s="9" t="s">
        <v>12</v>
      </c>
      <c r="C12" s="99" t="s">
        <v>35</v>
      </c>
      <c r="D12" s="100"/>
      <c r="E12" s="100"/>
      <c r="F12" s="100"/>
      <c r="G12" s="100"/>
      <c r="H12" s="100"/>
      <c r="I12" s="101"/>
    </row>
    <row r="13" spans="1:22" ht="52.5" customHeight="1" thickTop="1" thickBot="1" x14ac:dyDescent="0.3">
      <c r="A13" s="62" t="s">
        <v>10</v>
      </c>
      <c r="B13" s="62" t="s">
        <v>18</v>
      </c>
      <c r="C13" s="99"/>
      <c r="D13" s="100"/>
      <c r="E13" s="100"/>
      <c r="F13" s="100"/>
      <c r="G13" s="100"/>
      <c r="H13" s="100"/>
      <c r="I13" s="101"/>
    </row>
    <row r="14" spans="1:22" ht="52.5" customHeight="1" thickTop="1" thickBot="1" x14ac:dyDescent="0.3">
      <c r="A14" s="62" t="s">
        <v>31</v>
      </c>
      <c r="B14" s="62" t="s">
        <v>30</v>
      </c>
      <c r="C14" s="99"/>
      <c r="D14" s="100"/>
      <c r="E14" s="100"/>
      <c r="F14" s="100"/>
      <c r="G14" s="100"/>
      <c r="H14" s="100"/>
      <c r="I14" s="101"/>
    </row>
    <row r="15" spans="1:22" ht="87.75" customHeight="1" thickTop="1" thickBot="1" x14ac:dyDescent="0.3">
      <c r="A15" s="63" t="s">
        <v>9</v>
      </c>
      <c r="B15" s="63" t="s">
        <v>21</v>
      </c>
      <c r="C15" s="99" t="s">
        <v>21</v>
      </c>
      <c r="D15" s="100"/>
      <c r="E15" s="100"/>
      <c r="F15" s="100"/>
      <c r="G15" s="100"/>
      <c r="H15" s="100"/>
      <c r="I15" s="101"/>
    </row>
    <row r="16" spans="1:22" ht="67.5" customHeight="1" thickTop="1" thickBot="1" x14ac:dyDescent="0.3">
      <c r="A16" s="63" t="s">
        <v>8</v>
      </c>
      <c r="B16" s="63" t="s">
        <v>19</v>
      </c>
      <c r="C16" s="99" t="s">
        <v>19</v>
      </c>
      <c r="D16" s="100"/>
      <c r="E16" s="100"/>
      <c r="F16" s="100"/>
      <c r="G16" s="100"/>
      <c r="H16" s="100"/>
      <c r="I16" s="101"/>
    </row>
    <row r="17" spans="1:9" ht="52.5" customHeight="1" thickTop="1" thickBot="1" x14ac:dyDescent="0.3">
      <c r="A17" s="63" t="s">
        <v>7</v>
      </c>
      <c r="B17" s="63" t="s">
        <v>20</v>
      </c>
      <c r="C17" s="99"/>
      <c r="D17" s="100"/>
      <c r="E17" s="100"/>
      <c r="F17" s="100"/>
      <c r="G17" s="100"/>
      <c r="H17" s="100"/>
      <c r="I17" s="101"/>
    </row>
    <row r="18" spans="1:9" ht="52.5" customHeight="1" thickTop="1" thickBot="1" x14ac:dyDescent="0.3">
      <c r="A18" s="64" t="s">
        <v>11</v>
      </c>
      <c r="B18" s="64" t="s">
        <v>22</v>
      </c>
      <c r="C18" s="99"/>
      <c r="D18" s="100"/>
      <c r="E18" s="100"/>
      <c r="F18" s="100"/>
      <c r="G18" s="100"/>
      <c r="H18" s="100"/>
      <c r="I18" s="101"/>
    </row>
    <row r="19" spans="1:9" ht="15.75" thickTop="1" x14ac:dyDescent="0.25"/>
    <row r="22" spans="1:9" ht="93" customHeight="1" x14ac:dyDescent="0.25"/>
  </sheetData>
  <mergeCells count="8">
    <mergeCell ref="B7:I7"/>
    <mergeCell ref="C12:I12"/>
    <mergeCell ref="C18:I18"/>
    <mergeCell ref="C13:I13"/>
    <mergeCell ref="C14:I14"/>
    <mergeCell ref="C15:I15"/>
    <mergeCell ref="C16:I16"/>
    <mergeCell ref="C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CFD6-C1A6-41F3-8C80-F5E9A0F318CA}">
  <sheetPr codeName="Sheet3"/>
  <dimension ref="A1:AI74"/>
  <sheetViews>
    <sheetView zoomScale="85" zoomScaleNormal="85" workbookViewId="0">
      <selection activeCell="F30" sqref="F30"/>
    </sheetView>
  </sheetViews>
  <sheetFormatPr defaultRowHeight="15" x14ac:dyDescent="0.25"/>
  <cols>
    <col min="1" max="1" width="9.140625" style="2"/>
    <col min="2" max="2" width="9.42578125" style="4" customWidth="1"/>
    <col min="3" max="3" width="41.28515625" style="4" customWidth="1"/>
    <col min="4" max="5" width="15.140625" style="4" customWidth="1"/>
    <col min="6" max="7" width="14.42578125" style="4" customWidth="1"/>
    <col min="8" max="9" width="14.42578125" style="2" customWidth="1"/>
    <col min="10" max="10" width="13.85546875" style="2" customWidth="1"/>
    <col min="11" max="11" width="14.140625" style="2" customWidth="1"/>
    <col min="12" max="25" width="9.85546875" style="2" customWidth="1"/>
    <col min="26" max="16384" width="9.140625" style="2"/>
  </cols>
  <sheetData>
    <row r="1" spans="1:21" customFormat="1" x14ac:dyDescent="0.25">
      <c r="B1" s="4"/>
      <c r="C1" s="4"/>
      <c r="D1" s="4"/>
      <c r="E1" s="4"/>
      <c r="F1" s="4"/>
      <c r="G1" s="4"/>
      <c r="H1" s="2"/>
      <c r="I1" s="2"/>
    </row>
    <row r="2" spans="1:21" ht="15.75" thickBot="1" x14ac:dyDescent="0.3">
      <c r="C2" s="7"/>
      <c r="D2" s="7"/>
      <c r="E2" s="7"/>
      <c r="F2" s="7"/>
      <c r="G2" s="7"/>
      <c r="H2" s="8"/>
      <c r="I2" s="8"/>
      <c r="J2" s="12"/>
      <c r="K2"/>
      <c r="L2"/>
      <c r="Q2"/>
    </row>
    <row r="3" spans="1:21" ht="66.75" customHeight="1" thickTop="1" thickBot="1" x14ac:dyDescent="0.3">
      <c r="A3" s="9" t="s">
        <v>1</v>
      </c>
      <c r="B3" s="9" t="s">
        <v>12</v>
      </c>
      <c r="C3" s="9" t="s">
        <v>6</v>
      </c>
      <c r="D3" s="9" t="s">
        <v>17</v>
      </c>
      <c r="E3" s="9" t="s">
        <v>5</v>
      </c>
      <c r="F3" s="9" t="s">
        <v>13</v>
      </c>
      <c r="G3" s="9" t="s">
        <v>2</v>
      </c>
      <c r="H3" s="10" t="s">
        <v>4</v>
      </c>
      <c r="I3" s="89" t="s">
        <v>41</v>
      </c>
      <c r="J3" s="11" t="s">
        <v>23</v>
      </c>
      <c r="K3" s="9" t="s">
        <v>3</v>
      </c>
      <c r="L3"/>
      <c r="O3"/>
      <c r="P3" s="1"/>
      <c r="Q3" s="1"/>
      <c r="R3"/>
    </row>
    <row r="4" spans="1:21" ht="20.25" customHeight="1" thickTop="1" x14ac:dyDescent="0.25">
      <c r="A4" s="143">
        <v>240</v>
      </c>
      <c r="B4" s="147" t="s">
        <v>18</v>
      </c>
      <c r="C4" s="147" t="s">
        <v>10</v>
      </c>
      <c r="D4" s="18" t="s">
        <v>16</v>
      </c>
      <c r="E4" s="32">
        <v>1</v>
      </c>
      <c r="F4" s="150">
        <f>(E6/20)+(E5/4)+E4</f>
        <v>1</v>
      </c>
      <c r="G4" s="118">
        <f>F4*G39/F39</f>
        <v>4.4444444444444446</v>
      </c>
      <c r="H4" s="121">
        <f>MROUND(G4,G39)</f>
        <v>0</v>
      </c>
      <c r="I4" s="126">
        <f>H4/G39</f>
        <v>0</v>
      </c>
      <c r="J4" s="126">
        <f>SUM(H4:H20)</f>
        <v>30</v>
      </c>
      <c r="K4" s="129">
        <f>ROUNDUP(J4/A4,0)</f>
        <v>1</v>
      </c>
      <c r="L4"/>
      <c r="N4"/>
      <c r="O4" s="114"/>
      <c r="P4" s="1"/>
      <c r="Q4" s="1"/>
      <c r="R4"/>
      <c r="S4"/>
      <c r="T4"/>
      <c r="U4"/>
    </row>
    <row r="5" spans="1:21" ht="20.25" customHeight="1" x14ac:dyDescent="0.25">
      <c r="A5" s="144"/>
      <c r="B5" s="148"/>
      <c r="C5" s="148"/>
      <c r="D5" s="19" t="s">
        <v>14</v>
      </c>
      <c r="E5" s="33">
        <v>0</v>
      </c>
      <c r="F5" s="151"/>
      <c r="G5" s="119"/>
      <c r="H5" s="122"/>
      <c r="I5" s="127"/>
      <c r="J5" s="127"/>
      <c r="K5" s="130"/>
      <c r="L5"/>
      <c r="N5"/>
      <c r="O5" s="114"/>
      <c r="P5" s="1"/>
      <c r="Q5" s="1"/>
      <c r="R5"/>
      <c r="S5"/>
      <c r="T5"/>
      <c r="U5"/>
    </row>
    <row r="6" spans="1:21" ht="20.25" customHeight="1" thickBot="1" x14ac:dyDescent="0.3">
      <c r="A6" s="144"/>
      <c r="B6" s="149"/>
      <c r="C6" s="149"/>
      <c r="D6" s="17" t="s">
        <v>15</v>
      </c>
      <c r="E6" s="34">
        <v>0</v>
      </c>
      <c r="F6" s="152"/>
      <c r="G6" s="120"/>
      <c r="H6" s="123"/>
      <c r="I6" s="132"/>
      <c r="J6" s="127"/>
      <c r="K6" s="130"/>
      <c r="L6"/>
      <c r="N6"/>
      <c r="O6" s="114"/>
      <c r="P6" s="1"/>
      <c r="Q6" s="1"/>
      <c r="R6"/>
      <c r="S6"/>
      <c r="T6"/>
      <c r="U6"/>
    </row>
    <row r="7" spans="1:21" ht="20.25" customHeight="1" thickTop="1" x14ac:dyDescent="0.25">
      <c r="A7" s="144"/>
      <c r="B7" s="147" t="s">
        <v>30</v>
      </c>
      <c r="C7" s="147" t="s">
        <v>31</v>
      </c>
      <c r="D7" s="18" t="s">
        <v>16</v>
      </c>
      <c r="E7" s="32">
        <v>2</v>
      </c>
      <c r="F7" s="150">
        <f>(E9/12)+(E8/3)+E7</f>
        <v>2</v>
      </c>
      <c r="G7" s="118">
        <f>F7*G42/F42</f>
        <v>10.90909090909091</v>
      </c>
      <c r="H7" s="121">
        <f>MROUND(G7,G42)</f>
        <v>10</v>
      </c>
      <c r="I7" s="126">
        <f>H7/G42</f>
        <v>1</v>
      </c>
      <c r="J7" s="127"/>
      <c r="K7" s="130"/>
      <c r="L7"/>
      <c r="N7"/>
      <c r="O7" s="114"/>
      <c r="P7" s="1"/>
      <c r="Q7" s="1"/>
      <c r="R7"/>
      <c r="S7" s="1"/>
      <c r="T7" s="1"/>
      <c r="U7" s="1"/>
    </row>
    <row r="8" spans="1:21" ht="20.25" customHeight="1" x14ac:dyDescent="0.25">
      <c r="A8" s="144"/>
      <c r="B8" s="148"/>
      <c r="C8" s="148"/>
      <c r="D8" s="19" t="s">
        <v>14</v>
      </c>
      <c r="E8" s="33">
        <v>0</v>
      </c>
      <c r="F8" s="151"/>
      <c r="G8" s="119"/>
      <c r="H8" s="122"/>
      <c r="I8" s="127"/>
      <c r="J8" s="127"/>
      <c r="K8" s="130"/>
      <c r="L8"/>
      <c r="N8"/>
      <c r="O8" s="114"/>
      <c r="P8" s="1"/>
      <c r="Q8" s="1"/>
      <c r="R8"/>
      <c r="S8" s="1"/>
      <c r="T8" s="1"/>
      <c r="U8" s="1"/>
    </row>
    <row r="9" spans="1:21" ht="20.25" customHeight="1" thickBot="1" x14ac:dyDescent="0.3">
      <c r="A9" s="145"/>
      <c r="B9" s="149"/>
      <c r="C9" s="149"/>
      <c r="D9" s="17" t="s">
        <v>15</v>
      </c>
      <c r="E9" s="34">
        <v>0</v>
      </c>
      <c r="F9" s="152"/>
      <c r="G9" s="120"/>
      <c r="H9" s="123"/>
      <c r="I9" s="132"/>
      <c r="J9" s="128"/>
      <c r="K9" s="131"/>
      <c r="L9"/>
      <c r="N9"/>
      <c r="O9" s="114"/>
      <c r="P9" s="1"/>
      <c r="Q9" s="1"/>
      <c r="R9"/>
      <c r="S9" s="1"/>
      <c r="T9" s="1"/>
      <c r="U9" s="1"/>
    </row>
    <row r="10" spans="1:21" ht="20.25" customHeight="1" thickTop="1" x14ac:dyDescent="0.25">
      <c r="A10"/>
      <c r="B10" s="147" t="s">
        <v>21</v>
      </c>
      <c r="C10" s="147" t="s">
        <v>9</v>
      </c>
      <c r="D10" s="18" t="s">
        <v>16</v>
      </c>
      <c r="E10" s="32">
        <v>0</v>
      </c>
      <c r="F10" s="151">
        <f>(E12/9)+(E11/3)+E10</f>
        <v>1</v>
      </c>
      <c r="G10" s="125">
        <f>F10*G45/F45</f>
        <v>22.5</v>
      </c>
      <c r="H10" s="124">
        <f>MROUND(G10,G45)</f>
        <v>20</v>
      </c>
      <c r="I10" s="133">
        <f>H10/G45</f>
        <v>2</v>
      </c>
      <c r="J10"/>
      <c r="K10"/>
      <c r="L10"/>
      <c r="N10"/>
      <c r="O10"/>
      <c r="P10" s="1"/>
      <c r="Q10" s="1"/>
      <c r="R10"/>
      <c r="S10" s="1"/>
      <c r="T10" s="1"/>
      <c r="U10" s="1"/>
    </row>
    <row r="11" spans="1:21" ht="20.25" customHeight="1" x14ac:dyDescent="0.25">
      <c r="A11"/>
      <c r="B11" s="148"/>
      <c r="C11" s="148"/>
      <c r="D11" s="19" t="s">
        <v>14</v>
      </c>
      <c r="E11" s="33">
        <v>3</v>
      </c>
      <c r="F11" s="151"/>
      <c r="G11" s="119"/>
      <c r="H11" s="122"/>
      <c r="I11" s="127"/>
      <c r="J11"/>
      <c r="K11"/>
      <c r="L11"/>
      <c r="N11"/>
      <c r="O11"/>
      <c r="P11" s="1"/>
      <c r="Q11" s="1"/>
      <c r="R11"/>
      <c r="S11" s="1"/>
      <c r="T11" s="1"/>
      <c r="U11" s="1"/>
    </row>
    <row r="12" spans="1:21" ht="16.5" customHeight="1" thickBot="1" x14ac:dyDescent="0.3">
      <c r="A12"/>
      <c r="B12" s="149"/>
      <c r="C12" s="149"/>
      <c r="D12" s="17" t="s">
        <v>15</v>
      </c>
      <c r="E12" s="34">
        <v>0</v>
      </c>
      <c r="F12" s="151"/>
      <c r="G12" s="119"/>
      <c r="H12" s="122"/>
      <c r="I12" s="127"/>
      <c r="J12"/>
      <c r="K12"/>
      <c r="L12"/>
      <c r="N12"/>
      <c r="O12"/>
      <c r="P12" s="1"/>
      <c r="Q12" s="1"/>
      <c r="R12"/>
      <c r="S12" s="1"/>
      <c r="T12" s="1"/>
      <c r="U12" s="1"/>
    </row>
    <row r="13" spans="1:21" ht="29.25" customHeight="1" thickTop="1" thickBot="1" x14ac:dyDescent="0.3">
      <c r="A13"/>
      <c r="B13" s="40" t="s">
        <v>19</v>
      </c>
      <c r="C13" s="40" t="s">
        <v>8</v>
      </c>
      <c r="D13" s="50" t="s">
        <v>16</v>
      </c>
      <c r="E13" s="44">
        <v>0</v>
      </c>
      <c r="F13" s="45">
        <f>(E17*9)+(E16*3)+E13</f>
        <v>0</v>
      </c>
      <c r="G13" s="46">
        <f>10+(F13*G48/F48)</f>
        <v>10</v>
      </c>
      <c r="H13" s="90">
        <f>MROUND(G13,G48)</f>
        <v>0</v>
      </c>
      <c r="I13" s="47">
        <f>H13/G48</f>
        <v>0</v>
      </c>
      <c r="J13"/>
      <c r="K13"/>
      <c r="L13"/>
      <c r="N13"/>
      <c r="O13"/>
      <c r="P13" s="1"/>
      <c r="Q13" s="1"/>
      <c r="R13"/>
      <c r="S13"/>
      <c r="T13" s="1"/>
      <c r="U13" s="1"/>
    </row>
    <row r="14" spans="1:21" ht="29.25" customHeight="1" thickBot="1" x14ac:dyDescent="0.3">
      <c r="A14"/>
      <c r="B14" s="39" t="s">
        <v>20</v>
      </c>
      <c r="C14" s="85" t="s">
        <v>7</v>
      </c>
      <c r="D14" s="87" t="s">
        <v>16</v>
      </c>
      <c r="E14" s="86">
        <v>0</v>
      </c>
      <c r="F14" s="43">
        <f>(E19*9)+(E18*3)+E14</f>
        <v>0</v>
      </c>
      <c r="G14" s="42">
        <f>F14*G49/F49</f>
        <v>0</v>
      </c>
      <c r="H14" s="91">
        <f>MROUND(G14,G49)</f>
        <v>0</v>
      </c>
      <c r="I14" s="47">
        <f t="shared" ref="I14:I15" si="0">H14/G49</f>
        <v>0</v>
      </c>
      <c r="J14"/>
      <c r="K14"/>
      <c r="L14"/>
      <c r="N14"/>
      <c r="O14"/>
      <c r="P14" s="1"/>
      <c r="Q14" s="1"/>
      <c r="R14"/>
      <c r="S14"/>
      <c r="T14" s="1"/>
      <c r="U14" s="1"/>
    </row>
    <row r="15" spans="1:21" ht="29.25" customHeight="1" thickTop="1" thickBot="1" x14ac:dyDescent="0.3">
      <c r="A15"/>
      <c r="B15" s="35" t="s">
        <v>22</v>
      </c>
      <c r="C15" s="82" t="s">
        <v>11</v>
      </c>
      <c r="D15" s="84" t="s">
        <v>32</v>
      </c>
      <c r="E15" s="83">
        <v>0</v>
      </c>
      <c r="F15" s="36">
        <f>E15</f>
        <v>0</v>
      </c>
      <c r="G15" s="37">
        <f>F15*G50/F50</f>
        <v>0</v>
      </c>
      <c r="H15" s="92">
        <f>MROUND(G15,G50)</f>
        <v>0</v>
      </c>
      <c r="I15" s="47">
        <f t="shared" si="0"/>
        <v>0</v>
      </c>
      <c r="J15"/>
      <c r="K15"/>
      <c r="L15"/>
      <c r="N15"/>
      <c r="O15"/>
      <c r="P15" s="1"/>
      <c r="Q15" s="1"/>
      <c r="R15"/>
      <c r="S15"/>
      <c r="T15" s="1"/>
      <c r="U15" s="1"/>
    </row>
    <row r="16" spans="1:21" ht="14.25" customHeight="1" thickTop="1" x14ac:dyDescent="0.25">
      <c r="A16"/>
      <c r="B16"/>
      <c r="C16"/>
      <c r="D16"/>
      <c r="E16"/>
      <c r="F16"/>
      <c r="G16"/>
      <c r="H16"/>
      <c r="I16" s="67"/>
      <c r="J16"/>
      <c r="K16"/>
      <c r="L16"/>
      <c r="N16"/>
      <c r="O16"/>
      <c r="P16" s="1"/>
      <c r="Q16" s="1"/>
      <c r="R16"/>
      <c r="S16"/>
      <c r="T16" s="1"/>
      <c r="U16" s="1"/>
    </row>
    <row r="17" spans="1:21" ht="15.75" customHeight="1" x14ac:dyDescent="0.25">
      <c r="A17"/>
      <c r="B17"/>
      <c r="C17"/>
      <c r="D17"/>
      <c r="E17"/>
      <c r="F17"/>
      <c r="G17"/>
      <c r="H17"/>
      <c r="I17" s="67"/>
      <c r="J17"/>
      <c r="K17"/>
      <c r="L17"/>
      <c r="N17"/>
      <c r="O17"/>
      <c r="P17" s="1"/>
      <c r="Q17" s="1"/>
      <c r="R17"/>
      <c r="S17"/>
      <c r="T17" s="1"/>
      <c r="U17" s="1"/>
    </row>
    <row r="18" spans="1:21" ht="15.75" customHeight="1" x14ac:dyDescent="0.25">
      <c r="B18"/>
      <c r="C18"/>
      <c r="D18"/>
      <c r="E18"/>
      <c r="F18"/>
      <c r="G18"/>
      <c r="H18"/>
      <c r="I18" s="67"/>
      <c r="J18"/>
      <c r="K18"/>
      <c r="L18"/>
      <c r="N18"/>
      <c r="O18"/>
      <c r="P18" s="1"/>
      <c r="Q18" s="1"/>
      <c r="R18"/>
      <c r="S18"/>
      <c r="T18" s="1"/>
      <c r="U18" s="1"/>
    </row>
    <row r="19" spans="1:21" ht="16.5" customHeight="1" x14ac:dyDescent="0.25">
      <c r="B19"/>
      <c r="C19"/>
      <c r="D19"/>
      <c r="E19"/>
      <c r="F19"/>
      <c r="G19"/>
      <c r="H19"/>
      <c r="I19" s="67"/>
      <c r="J19"/>
      <c r="K19"/>
      <c r="L19"/>
      <c r="N19"/>
      <c r="O19" s="114"/>
      <c r="P19" s="1"/>
      <c r="Q19" s="1"/>
      <c r="R19"/>
      <c r="S19"/>
      <c r="T19"/>
      <c r="U19"/>
    </row>
    <row r="20" spans="1:21" ht="16.5" customHeight="1" thickBot="1" x14ac:dyDescent="0.3">
      <c r="B20"/>
      <c r="D20"/>
      <c r="F20"/>
      <c r="G20"/>
      <c r="H20"/>
      <c r="I20" s="67"/>
      <c r="J20"/>
      <c r="K20"/>
      <c r="L20"/>
      <c r="M20"/>
      <c r="N20"/>
      <c r="O20" s="114"/>
      <c r="P20" s="1"/>
      <c r="Q20" s="1"/>
      <c r="R20"/>
      <c r="S20"/>
      <c r="T20"/>
      <c r="U20"/>
    </row>
    <row r="21" spans="1:21" ht="31.5" customHeight="1" thickTop="1" thickBot="1" x14ac:dyDescent="0.3">
      <c r="B21"/>
      <c r="C21" s="93" t="s">
        <v>45</v>
      </c>
      <c r="D21"/>
      <c r="E21" s="153" t="s">
        <v>46</v>
      </c>
      <c r="F21" s="154"/>
      <c r="G21" s="98" t="s">
        <v>38</v>
      </c>
      <c r="H21"/>
      <c r="I21" s="67"/>
      <c r="J21"/>
      <c r="K21"/>
      <c r="L21"/>
      <c r="M21"/>
      <c r="N21"/>
      <c r="O21" s="114"/>
      <c r="P21" s="1"/>
      <c r="Q21" s="1"/>
      <c r="R21"/>
      <c r="S21"/>
      <c r="T21"/>
      <c r="U21"/>
    </row>
    <row r="22" spans="1:21" ht="33" customHeight="1" thickTop="1" thickBot="1" x14ac:dyDescent="0.3">
      <c r="C22" s="96"/>
      <c r="D22"/>
      <c r="E22" s="153" t="s">
        <v>48</v>
      </c>
      <c r="F22" s="154"/>
      <c r="G22" s="98">
        <f>K4</f>
        <v>1</v>
      </c>
      <c r="J22"/>
      <c r="K22"/>
      <c r="L22"/>
      <c r="M22"/>
      <c r="N22"/>
      <c r="O22" s="114"/>
      <c r="P22" s="1"/>
      <c r="Q22" s="1"/>
      <c r="R22"/>
    </row>
    <row r="23" spans="1:21" ht="30" customHeight="1" thickTop="1" thickBot="1" x14ac:dyDescent="0.3">
      <c r="C23" s="5"/>
      <c r="D23" s="5"/>
      <c r="E23" s="153" t="s">
        <v>49</v>
      </c>
      <c r="F23" s="154"/>
      <c r="G23" s="98">
        <f>J4</f>
        <v>30</v>
      </c>
      <c r="H23" s="13"/>
      <c r="I23" s="13"/>
      <c r="M23"/>
      <c r="N23"/>
      <c r="O23" s="114"/>
      <c r="P23" s="1"/>
      <c r="Q23" s="1"/>
      <c r="R23"/>
    </row>
    <row r="24" spans="1:21" ht="18" customHeight="1" thickTop="1" x14ac:dyDescent="0.25">
      <c r="B24" s="5"/>
      <c r="C24" s="5"/>
      <c r="D24" s="5"/>
      <c r="H24"/>
      <c r="I24" s="67"/>
      <c r="M24"/>
      <c r="N24"/>
      <c r="O24" s="114"/>
      <c r="P24" s="1"/>
      <c r="Q24" s="1"/>
      <c r="R24"/>
    </row>
    <row r="25" spans="1:21" ht="31.5" customHeight="1" x14ac:dyDescent="0.25">
      <c r="B25" s="2"/>
      <c r="C25" s="2"/>
      <c r="D25" s="2"/>
      <c r="E25" s="2"/>
      <c r="F25" s="2"/>
      <c r="G25" s="6"/>
      <c r="M25"/>
      <c r="N25"/>
      <c r="O25"/>
      <c r="P25" s="1"/>
      <c r="Q25" s="1"/>
      <c r="R25"/>
    </row>
    <row r="26" spans="1:21" ht="15" customHeight="1" x14ac:dyDescent="0.25">
      <c r="B26" s="2"/>
      <c r="C26" s="2"/>
      <c r="D26" s="2"/>
      <c r="E26" s="2"/>
      <c r="F26" s="2"/>
      <c r="M26"/>
      <c r="N26"/>
      <c r="O26"/>
      <c r="P26" s="1"/>
      <c r="Q26" s="1"/>
      <c r="R26"/>
    </row>
    <row r="27" spans="1:21" ht="15.75" customHeight="1" x14ac:dyDescent="0.25">
      <c r="B27" s="2"/>
      <c r="C27" s="2"/>
      <c r="D27" s="2"/>
      <c r="E27" s="2"/>
      <c r="F27" s="2"/>
      <c r="M27"/>
      <c r="N27"/>
      <c r="O27"/>
      <c r="P27" s="1"/>
      <c r="Q27" s="1"/>
      <c r="R27"/>
    </row>
    <row r="28" spans="1:21" ht="15.75" customHeight="1" x14ac:dyDescent="0.25">
      <c r="B28" s="2"/>
      <c r="C28" s="2"/>
      <c r="D28" s="2"/>
      <c r="E28" s="2"/>
      <c r="F28" s="2"/>
      <c r="M28"/>
      <c r="N28"/>
      <c r="O28"/>
      <c r="P28" s="1"/>
      <c r="Q28" s="1"/>
      <c r="R28"/>
    </row>
    <row r="29" spans="1:21" ht="15" customHeight="1" x14ac:dyDescent="0.25">
      <c r="B29" s="2"/>
      <c r="C29" s="2"/>
      <c r="D29" s="2"/>
      <c r="E29" s="2"/>
      <c r="F29" s="2"/>
      <c r="M29"/>
      <c r="N29"/>
      <c r="O29"/>
      <c r="P29" s="1"/>
      <c r="Q29" s="1"/>
      <c r="R29"/>
    </row>
    <row r="30" spans="1:21" ht="15.75" customHeight="1" x14ac:dyDescent="0.25">
      <c r="B30" s="2"/>
      <c r="C30" s="2"/>
      <c r="D30" s="2"/>
      <c r="E30" s="2"/>
      <c r="F30" s="2"/>
      <c r="M30"/>
      <c r="N30"/>
      <c r="O30"/>
      <c r="P30" s="1"/>
      <c r="Q30" s="1"/>
      <c r="R30"/>
    </row>
    <row r="31" spans="1:21" ht="15" customHeight="1" x14ac:dyDescent="0.25">
      <c r="B31" s="2"/>
      <c r="C31" s="2"/>
      <c r="D31" s="2"/>
      <c r="E31" s="2"/>
      <c r="F31" s="2"/>
      <c r="J31"/>
      <c r="K31"/>
      <c r="L31"/>
      <c r="M31"/>
      <c r="N31"/>
      <c r="O31"/>
      <c r="P31"/>
      <c r="Q31"/>
      <c r="R31"/>
    </row>
    <row r="32" spans="1:21" x14ac:dyDescent="0.25">
      <c r="J32"/>
      <c r="K32"/>
      <c r="L32"/>
      <c r="M32"/>
      <c r="N32"/>
      <c r="O32"/>
      <c r="P32"/>
      <c r="Q32"/>
      <c r="R32"/>
    </row>
    <row r="33" spans="2:35" ht="30" customHeight="1" x14ac:dyDescent="0.25">
      <c r="J33"/>
      <c r="K33"/>
      <c r="L33"/>
      <c r="M33"/>
      <c r="N33"/>
      <c r="O33"/>
      <c r="P33"/>
      <c r="Q33"/>
      <c r="R33"/>
    </row>
    <row r="34" spans="2:35" x14ac:dyDescent="0.25">
      <c r="B34" s="3"/>
      <c r="C34" s="3"/>
      <c r="D34" s="14"/>
      <c r="E34" s="14"/>
      <c r="F34" s="3"/>
      <c r="G34" s="3"/>
      <c r="H34"/>
      <c r="I34" s="67"/>
      <c r="J34"/>
      <c r="K34"/>
      <c r="L34"/>
      <c r="M34"/>
      <c r="N34"/>
      <c r="O34"/>
      <c r="P34"/>
      <c r="Q34"/>
    </row>
    <row r="35" spans="2:35" s="16" customFormat="1" ht="39" customHeight="1" x14ac:dyDescent="0.25">
      <c r="B35" s="3"/>
      <c r="C35" s="3"/>
      <c r="D35" s="14"/>
      <c r="E35" s="14"/>
      <c r="F35" s="3"/>
      <c r="G35" s="3"/>
      <c r="H35"/>
      <c r="I35" s="67"/>
      <c r="L35" s="15"/>
      <c r="M35" s="15"/>
      <c r="N35" s="15"/>
      <c r="O35" s="15"/>
      <c r="P35" s="15"/>
      <c r="Q35" s="15"/>
    </row>
    <row r="36" spans="2:35" ht="42.75" customHeight="1" x14ac:dyDescent="0.25">
      <c r="B36" s="3"/>
      <c r="C36" s="146" t="s">
        <v>44</v>
      </c>
      <c r="D36" s="146"/>
      <c r="E36" s="146"/>
      <c r="F36" s="146"/>
      <c r="G36" s="146"/>
      <c r="H36"/>
      <c r="I36" s="65" t="s">
        <v>40</v>
      </c>
      <c r="J36" s="68" t="s">
        <v>37</v>
      </c>
      <c r="K36" s="88"/>
      <c r="L36" s="88"/>
      <c r="M36" s="88"/>
      <c r="N36" s="88"/>
      <c r="O36" s="88"/>
      <c r="P36" s="88"/>
      <c r="Q36"/>
    </row>
    <row r="37" spans="2:35" ht="20.25" thickBot="1" x14ac:dyDescent="0.35">
      <c r="B37" s="134" t="s">
        <v>42</v>
      </c>
      <c r="C37" s="134"/>
      <c r="D37" s="134"/>
      <c r="E37" s="134"/>
      <c r="F37" s="134"/>
      <c r="G37" s="135"/>
      <c r="H37"/>
      <c r="I37" s="106" t="s">
        <v>43</v>
      </c>
      <c r="J37" s="106"/>
      <c r="K37" s="106"/>
      <c r="L37" s="106"/>
      <c r="M37" s="106"/>
      <c r="N37" s="106"/>
      <c r="O37" s="106"/>
      <c r="P37" s="106"/>
      <c r="Q37"/>
    </row>
    <row r="38" spans="2:35" ht="52.5" customHeight="1" thickBot="1" x14ac:dyDescent="0.3">
      <c r="B38" s="26" t="s">
        <v>12</v>
      </c>
      <c r="C38" s="26" t="s">
        <v>0</v>
      </c>
      <c r="D38" s="22" t="s">
        <v>17</v>
      </c>
      <c r="E38" s="22" t="s">
        <v>25</v>
      </c>
      <c r="F38" s="22" t="s">
        <v>26</v>
      </c>
      <c r="G38" s="22" t="s">
        <v>24</v>
      </c>
      <c r="H38" s="15"/>
      <c r="I38" s="107" t="s">
        <v>6</v>
      </c>
      <c r="J38" s="108"/>
      <c r="K38" s="104" t="s">
        <v>10</v>
      </c>
      <c r="L38" s="104"/>
      <c r="M38" s="105"/>
      <c r="N38" s="104" t="s">
        <v>31</v>
      </c>
      <c r="O38" s="104"/>
      <c r="P38" s="105"/>
      <c r="Q38" s="104" t="s">
        <v>9</v>
      </c>
      <c r="R38" s="104"/>
      <c r="S38" s="105"/>
      <c r="T38" s="76" t="s">
        <v>8</v>
      </c>
      <c r="U38" s="78" t="s">
        <v>7</v>
      </c>
      <c r="V38" s="77" t="s">
        <v>11</v>
      </c>
      <c r="AB38" s="107"/>
      <c r="AC38" s="109"/>
      <c r="AD38" s="111"/>
      <c r="AE38" s="112"/>
      <c r="AF38" s="112"/>
      <c r="AG38" s="112"/>
      <c r="AH38" s="112"/>
      <c r="AI38" s="113"/>
    </row>
    <row r="39" spans="2:35" ht="21" thickTop="1" thickBot="1" x14ac:dyDescent="0.3">
      <c r="B39" s="136" t="s">
        <v>18</v>
      </c>
      <c r="C39" s="136" t="s">
        <v>10</v>
      </c>
      <c r="D39" s="23" t="s">
        <v>16</v>
      </c>
      <c r="E39" s="27">
        <v>1</v>
      </c>
      <c r="F39" s="139">
        <f>E39+(E40/4)+(E41/20)</f>
        <v>2.25</v>
      </c>
      <c r="G39" s="115">
        <v>10</v>
      </c>
      <c r="H39"/>
      <c r="I39" s="109" t="s">
        <v>17</v>
      </c>
      <c r="J39" s="110"/>
      <c r="K39" s="79" t="s">
        <v>16</v>
      </c>
      <c r="L39" s="70" t="s">
        <v>14</v>
      </c>
      <c r="M39" s="71" t="s">
        <v>15</v>
      </c>
      <c r="N39" s="69" t="s">
        <v>16</v>
      </c>
      <c r="O39" s="70" t="s">
        <v>14</v>
      </c>
      <c r="P39" s="71" t="s">
        <v>15</v>
      </c>
      <c r="Q39" s="72" t="s">
        <v>16</v>
      </c>
      <c r="R39" s="70" t="s">
        <v>14</v>
      </c>
      <c r="S39" s="71" t="s">
        <v>15</v>
      </c>
      <c r="T39" s="73" t="s">
        <v>16</v>
      </c>
      <c r="U39" s="74" t="s">
        <v>16</v>
      </c>
      <c r="V39" s="75"/>
      <c r="AB39" s="108"/>
      <c r="AC39" s="110"/>
      <c r="AD39" s="94"/>
      <c r="AE39" s="95"/>
      <c r="AF39" s="95"/>
      <c r="AG39" s="95"/>
      <c r="AH39" s="95"/>
      <c r="AI39" s="81"/>
    </row>
    <row r="40" spans="2:35" ht="20.25" thickBot="1" x14ac:dyDescent="0.3">
      <c r="B40" s="137"/>
      <c r="C40" s="137"/>
      <c r="D40" s="24" t="s">
        <v>14</v>
      </c>
      <c r="E40" s="28">
        <v>5</v>
      </c>
      <c r="F40" s="140"/>
      <c r="G40" s="116"/>
      <c r="H40"/>
      <c r="I40" s="111" t="s">
        <v>39</v>
      </c>
      <c r="J40" s="94">
        <v>1</v>
      </c>
      <c r="K40" s="80">
        <v>0</v>
      </c>
      <c r="L40" s="28">
        <v>3</v>
      </c>
      <c r="M40" s="29">
        <v>3</v>
      </c>
      <c r="N40" s="27">
        <v>0</v>
      </c>
      <c r="O40" s="28">
        <v>1</v>
      </c>
      <c r="P40" s="29">
        <v>5</v>
      </c>
      <c r="Q40" s="30">
        <v>0</v>
      </c>
      <c r="R40" s="28">
        <v>0</v>
      </c>
      <c r="S40" s="29">
        <v>1</v>
      </c>
      <c r="T40" s="51">
        <v>2</v>
      </c>
      <c r="U40" s="51">
        <v>1</v>
      </c>
      <c r="V40" s="31">
        <v>24000</v>
      </c>
      <c r="AB40" s="104"/>
      <c r="AC40" s="79"/>
      <c r="AD40" s="80"/>
      <c r="AE40" s="80"/>
      <c r="AF40" s="80"/>
      <c r="AG40" s="80"/>
      <c r="AH40" s="80"/>
      <c r="AI40" s="80"/>
    </row>
    <row r="41" spans="2:35" ht="20.25" thickBot="1" x14ac:dyDescent="0.3">
      <c r="B41" s="138"/>
      <c r="C41" s="138"/>
      <c r="D41" s="21" t="s">
        <v>15</v>
      </c>
      <c r="E41" s="29">
        <v>0</v>
      </c>
      <c r="F41" s="117"/>
      <c r="G41" s="117"/>
      <c r="H41"/>
      <c r="I41" s="112"/>
      <c r="J41" s="95">
        <v>2</v>
      </c>
      <c r="K41" s="80">
        <v>0</v>
      </c>
      <c r="L41" s="28">
        <v>4</v>
      </c>
      <c r="M41" s="29">
        <v>4</v>
      </c>
      <c r="N41" s="27">
        <v>0</v>
      </c>
      <c r="O41" s="28">
        <v>2</v>
      </c>
      <c r="P41" s="29">
        <v>4</v>
      </c>
      <c r="Q41" s="30">
        <v>0</v>
      </c>
      <c r="R41" s="28">
        <v>0</v>
      </c>
      <c r="S41" s="29">
        <v>2</v>
      </c>
      <c r="T41" s="51">
        <v>3</v>
      </c>
      <c r="U41" s="51">
        <v>1</v>
      </c>
      <c r="V41" s="31">
        <v>24000</v>
      </c>
      <c r="AB41" s="104"/>
      <c r="AC41" s="70"/>
      <c r="AD41" s="28"/>
      <c r="AE41" s="28"/>
      <c r="AF41" s="28"/>
      <c r="AG41" s="28"/>
      <c r="AH41" s="28"/>
      <c r="AI41" s="28"/>
    </row>
    <row r="42" spans="2:35" ht="21" thickTop="1" thickBot="1" x14ac:dyDescent="0.3">
      <c r="B42" s="136" t="s">
        <v>30</v>
      </c>
      <c r="C42" s="136" t="s">
        <v>31</v>
      </c>
      <c r="D42" s="23" t="s">
        <v>16</v>
      </c>
      <c r="E42" s="27">
        <v>1</v>
      </c>
      <c r="F42" s="139">
        <f>E42+(E43/3)+(E44/12)</f>
        <v>1.8333333333333333</v>
      </c>
      <c r="G42" s="115">
        <v>10</v>
      </c>
      <c r="H42"/>
      <c r="I42" s="112"/>
      <c r="J42" s="95">
        <v>3</v>
      </c>
      <c r="K42" s="80">
        <v>0</v>
      </c>
      <c r="L42" s="28">
        <v>5</v>
      </c>
      <c r="M42" s="29">
        <v>5</v>
      </c>
      <c r="N42" s="27">
        <v>0</v>
      </c>
      <c r="O42" s="28">
        <v>3</v>
      </c>
      <c r="P42" s="29">
        <v>3</v>
      </c>
      <c r="Q42" s="30">
        <v>0</v>
      </c>
      <c r="R42" s="28">
        <v>0</v>
      </c>
      <c r="S42" s="29">
        <v>2</v>
      </c>
      <c r="T42" s="51">
        <v>4</v>
      </c>
      <c r="U42" s="51">
        <v>2</v>
      </c>
      <c r="V42" s="31">
        <v>24000</v>
      </c>
      <c r="AB42" s="105"/>
      <c r="AC42" s="71"/>
      <c r="AD42" s="29"/>
      <c r="AE42" s="29"/>
      <c r="AF42" s="29"/>
      <c r="AG42" s="29"/>
      <c r="AH42" s="29"/>
      <c r="AI42" s="29"/>
    </row>
    <row r="43" spans="2:35" ht="20.25" thickBot="1" x14ac:dyDescent="0.3">
      <c r="B43" s="137"/>
      <c r="C43" s="137"/>
      <c r="D43" s="24" t="s">
        <v>14</v>
      </c>
      <c r="E43" s="28">
        <v>2</v>
      </c>
      <c r="F43" s="140"/>
      <c r="G43" s="116"/>
      <c r="H43"/>
      <c r="I43" s="112"/>
      <c r="J43" s="95">
        <v>4</v>
      </c>
      <c r="K43" s="80">
        <v>1</v>
      </c>
      <c r="L43" s="28">
        <v>3</v>
      </c>
      <c r="M43" s="29">
        <v>2</v>
      </c>
      <c r="N43" s="27">
        <v>1</v>
      </c>
      <c r="O43" s="28">
        <v>1</v>
      </c>
      <c r="P43" s="29">
        <v>2</v>
      </c>
      <c r="Q43" s="30">
        <v>0</v>
      </c>
      <c r="R43" s="28">
        <v>1</v>
      </c>
      <c r="S43" s="29">
        <v>2</v>
      </c>
      <c r="T43" s="51">
        <v>5</v>
      </c>
      <c r="U43" s="51">
        <v>2</v>
      </c>
      <c r="V43" s="31">
        <v>24000</v>
      </c>
      <c r="AB43" s="104"/>
      <c r="AC43" s="69"/>
      <c r="AD43" s="27"/>
      <c r="AE43" s="27"/>
      <c r="AF43" s="27"/>
      <c r="AG43" s="27"/>
      <c r="AH43" s="27"/>
      <c r="AI43" s="27"/>
    </row>
    <row r="44" spans="2:35" ht="20.25" thickBot="1" x14ac:dyDescent="0.3">
      <c r="B44" s="138"/>
      <c r="C44" s="138"/>
      <c r="D44" s="21" t="s">
        <v>15</v>
      </c>
      <c r="E44" s="29">
        <v>2</v>
      </c>
      <c r="F44" s="142"/>
      <c r="G44" s="117"/>
      <c r="H44"/>
      <c r="I44" s="112"/>
      <c r="J44" s="95">
        <v>5</v>
      </c>
      <c r="K44" s="80">
        <v>1</v>
      </c>
      <c r="L44" s="28">
        <v>5</v>
      </c>
      <c r="M44" s="29">
        <v>0</v>
      </c>
      <c r="N44" s="27">
        <v>1</v>
      </c>
      <c r="O44" s="28">
        <v>2</v>
      </c>
      <c r="P44" s="29">
        <v>2</v>
      </c>
      <c r="Q44" s="30">
        <v>0</v>
      </c>
      <c r="R44" s="28">
        <v>1</v>
      </c>
      <c r="S44" s="29">
        <v>1</v>
      </c>
      <c r="T44" s="51">
        <v>5</v>
      </c>
      <c r="U44" s="51">
        <v>2</v>
      </c>
      <c r="V44" s="31">
        <v>24000</v>
      </c>
      <c r="AB44" s="104"/>
      <c r="AC44" s="70"/>
      <c r="AD44" s="28"/>
      <c r="AE44" s="28"/>
      <c r="AF44" s="28"/>
      <c r="AG44" s="28"/>
      <c r="AH44" s="28"/>
      <c r="AI44" s="28"/>
    </row>
    <row r="45" spans="2:35" ht="20.25" thickBot="1" x14ac:dyDescent="0.3">
      <c r="B45" s="137" t="s">
        <v>21</v>
      </c>
      <c r="C45" s="137" t="s">
        <v>9</v>
      </c>
      <c r="D45" s="25" t="s">
        <v>16</v>
      </c>
      <c r="E45" s="30">
        <v>0</v>
      </c>
      <c r="F45" s="141">
        <f>E45+(E46/3)+(E47/9)</f>
        <v>0.44444444444444442</v>
      </c>
      <c r="G45" s="116">
        <v>10</v>
      </c>
      <c r="H45"/>
      <c r="I45" s="113"/>
      <c r="J45" s="81" t="s">
        <v>38</v>
      </c>
      <c r="K45" s="80">
        <v>1</v>
      </c>
      <c r="L45" s="28">
        <v>5</v>
      </c>
      <c r="M45" s="29">
        <v>0</v>
      </c>
      <c r="N45" s="27">
        <v>1</v>
      </c>
      <c r="O45" s="28">
        <v>2</v>
      </c>
      <c r="P45" s="29">
        <v>2</v>
      </c>
      <c r="Q45" s="30">
        <v>0</v>
      </c>
      <c r="R45" s="28">
        <v>1</v>
      </c>
      <c r="S45" s="29">
        <v>1</v>
      </c>
      <c r="T45" s="55">
        <v>5</v>
      </c>
      <c r="U45" s="51">
        <v>3</v>
      </c>
      <c r="V45" s="31">
        <v>24000</v>
      </c>
      <c r="AB45" s="105"/>
      <c r="AC45" s="71"/>
      <c r="AD45" s="29"/>
      <c r="AE45" s="29"/>
      <c r="AF45" s="29"/>
      <c r="AG45" s="29"/>
      <c r="AH45" s="29"/>
      <c r="AI45" s="29"/>
    </row>
    <row r="46" spans="2:35" x14ac:dyDescent="0.25">
      <c r="B46" s="137"/>
      <c r="C46" s="137"/>
      <c r="D46" s="24" t="s">
        <v>14</v>
      </c>
      <c r="E46" s="28">
        <v>1</v>
      </c>
      <c r="F46" s="140"/>
      <c r="G46" s="116"/>
      <c r="H46"/>
      <c r="AB46" s="104"/>
      <c r="AC46" s="72"/>
      <c r="AD46" s="30"/>
      <c r="AE46" s="30"/>
      <c r="AF46" s="30"/>
      <c r="AG46" s="30"/>
      <c r="AH46" s="30"/>
      <c r="AI46" s="30"/>
    </row>
    <row r="47" spans="2:35" ht="15.75" thickBot="1" x14ac:dyDescent="0.3">
      <c r="B47" s="138"/>
      <c r="C47" s="138"/>
      <c r="D47" s="21" t="s">
        <v>15</v>
      </c>
      <c r="E47" s="29">
        <v>1</v>
      </c>
      <c r="F47" s="142"/>
      <c r="G47" s="117"/>
      <c r="H47"/>
      <c r="AB47" s="104"/>
      <c r="AC47" s="70"/>
      <c r="AD47" s="28"/>
      <c r="AE47" s="28"/>
      <c r="AF47" s="28"/>
      <c r="AG47" s="28"/>
      <c r="AH47" s="28"/>
      <c r="AI47" s="28"/>
    </row>
    <row r="48" spans="2:35" ht="15.75" thickBot="1" x14ac:dyDescent="0.3">
      <c r="B48" s="58" t="s">
        <v>19</v>
      </c>
      <c r="C48" s="53" t="s">
        <v>8</v>
      </c>
      <c r="D48" s="54" t="s">
        <v>16</v>
      </c>
      <c r="E48" s="55">
        <v>5</v>
      </c>
      <c r="F48" s="52">
        <f>E48</f>
        <v>5</v>
      </c>
      <c r="G48" s="56">
        <v>30</v>
      </c>
      <c r="H48"/>
      <c r="AB48" s="105"/>
      <c r="AC48" s="71"/>
      <c r="AD48" s="29"/>
      <c r="AE48" s="29"/>
      <c r="AF48" s="29"/>
      <c r="AG48" s="29"/>
      <c r="AH48" s="29"/>
      <c r="AI48" s="29"/>
    </row>
    <row r="49" spans="1:35" ht="19.5" thickBot="1" x14ac:dyDescent="0.3">
      <c r="B49" s="59" t="s">
        <v>20</v>
      </c>
      <c r="C49" s="48" t="s">
        <v>7</v>
      </c>
      <c r="D49" s="50" t="s">
        <v>16</v>
      </c>
      <c r="E49" s="51">
        <v>3</v>
      </c>
      <c r="F49" s="49">
        <f>E49</f>
        <v>3</v>
      </c>
      <c r="G49" s="20">
        <v>30</v>
      </c>
      <c r="H49"/>
      <c r="AB49" s="76"/>
      <c r="AC49" s="73"/>
      <c r="AD49" s="51"/>
      <c r="AE49" s="51"/>
      <c r="AF49" s="51"/>
      <c r="AG49" s="51"/>
      <c r="AH49" s="51"/>
      <c r="AI49" s="55"/>
    </row>
    <row r="50" spans="1:35" ht="19.5" thickBot="1" x14ac:dyDescent="0.3">
      <c r="B50" s="57" t="s">
        <v>22</v>
      </c>
      <c r="C50" s="41" t="s">
        <v>11</v>
      </c>
      <c r="D50" s="24" t="s">
        <v>14</v>
      </c>
      <c r="E50" s="31">
        <v>24000</v>
      </c>
      <c r="F50" s="20">
        <v>24000</v>
      </c>
      <c r="G50" s="20">
        <v>10</v>
      </c>
      <c r="H50"/>
      <c r="AB50" s="78"/>
      <c r="AC50" s="74"/>
      <c r="AD50" s="51"/>
      <c r="AE50" s="51"/>
      <c r="AF50" s="51"/>
      <c r="AG50" s="51"/>
      <c r="AH50" s="51"/>
      <c r="AI50" s="51"/>
    </row>
    <row r="51" spans="1:35" ht="19.5" thickBot="1" x14ac:dyDescent="0.3">
      <c r="A51"/>
      <c r="B51"/>
      <c r="C51"/>
      <c r="D51"/>
      <c r="E51"/>
      <c r="F51"/>
      <c r="G51"/>
      <c r="AB51" s="77"/>
      <c r="AC51" s="75"/>
      <c r="AD51" s="31"/>
      <c r="AE51" s="31"/>
      <c r="AF51" s="31"/>
      <c r="AG51" s="31"/>
      <c r="AH51" s="31"/>
      <c r="AI51" s="31"/>
    </row>
    <row r="52" spans="1:35" x14ac:dyDescent="0.25">
      <c r="A52"/>
      <c r="D52"/>
      <c r="E52"/>
      <c r="F52"/>
      <c r="G52"/>
      <c r="P52" s="88"/>
    </row>
    <row r="53" spans="1:35" x14ac:dyDescent="0.25">
      <c r="A53"/>
      <c r="B53"/>
      <c r="C53"/>
      <c r="D53"/>
      <c r="E53"/>
      <c r="F53"/>
      <c r="G53"/>
    </row>
    <row r="54" spans="1:35" x14ac:dyDescent="0.25">
      <c r="A54"/>
      <c r="B54"/>
      <c r="C54"/>
      <c r="D54"/>
      <c r="E54"/>
      <c r="F54"/>
      <c r="G54"/>
    </row>
    <row r="55" spans="1:35" x14ac:dyDescent="0.25">
      <c r="A55"/>
      <c r="B55"/>
      <c r="C55"/>
      <c r="D55"/>
      <c r="E55"/>
      <c r="F55"/>
      <c r="G55"/>
    </row>
    <row r="56" spans="1:35" x14ac:dyDescent="0.25">
      <c r="D56"/>
      <c r="E56"/>
      <c r="F56"/>
      <c r="G56"/>
    </row>
    <row r="57" spans="1:35" x14ac:dyDescent="0.25">
      <c r="C57"/>
      <c r="D57"/>
      <c r="E57"/>
      <c r="F57"/>
      <c r="G57"/>
    </row>
    <row r="58" spans="1:35" x14ac:dyDescent="0.25">
      <c r="C58"/>
      <c r="D58"/>
      <c r="G58" s="3"/>
    </row>
    <row r="59" spans="1:35" x14ac:dyDescent="0.25">
      <c r="C59"/>
      <c r="D59"/>
      <c r="E59" s="14"/>
      <c r="F59" s="3"/>
      <c r="G59" s="3"/>
    </row>
    <row r="60" spans="1:35" x14ac:dyDescent="0.25">
      <c r="C60"/>
      <c r="D60"/>
    </row>
    <row r="61" spans="1:35" x14ac:dyDescent="0.25">
      <c r="C61"/>
      <c r="D61"/>
    </row>
    <row r="62" spans="1:35" x14ac:dyDescent="0.25">
      <c r="C62"/>
      <c r="D62"/>
    </row>
    <row r="67" spans="2:5" x14ac:dyDescent="0.25">
      <c r="B67" s="38" t="s">
        <v>12</v>
      </c>
      <c r="C67" s="38" t="s">
        <v>27</v>
      </c>
      <c r="D67" s="38" t="s">
        <v>34</v>
      </c>
      <c r="E67" s="38" t="s">
        <v>33</v>
      </c>
    </row>
    <row r="68" spans="2:5" x14ac:dyDescent="0.25">
      <c r="B68" t="s">
        <v>18</v>
      </c>
      <c r="C68"/>
      <c r="D68" s="60">
        <v>10</v>
      </c>
      <c r="E68" t="s">
        <v>10</v>
      </c>
    </row>
    <row r="69" spans="2:5" x14ac:dyDescent="0.25">
      <c r="B69" t="s">
        <v>30</v>
      </c>
      <c r="C69"/>
      <c r="D69" s="60">
        <v>10</v>
      </c>
      <c r="E69" t="s">
        <v>31</v>
      </c>
    </row>
    <row r="70" spans="2:5" x14ac:dyDescent="0.25">
      <c r="B70" t="s">
        <v>21</v>
      </c>
      <c r="C70"/>
      <c r="D70" s="60">
        <v>10</v>
      </c>
      <c r="E70" t="s">
        <v>9</v>
      </c>
    </row>
    <row r="71" spans="2:5" x14ac:dyDescent="0.25">
      <c r="B71" t="s">
        <v>19</v>
      </c>
      <c r="C71"/>
      <c r="D71" s="61">
        <v>30</v>
      </c>
      <c r="E71" t="s">
        <v>8</v>
      </c>
    </row>
    <row r="72" spans="2:5" x14ac:dyDescent="0.25">
      <c r="B72" t="s">
        <v>20</v>
      </c>
      <c r="C72"/>
      <c r="D72" s="61">
        <v>30</v>
      </c>
      <c r="E72" t="s">
        <v>7</v>
      </c>
    </row>
    <row r="73" spans="2:5" x14ac:dyDescent="0.25">
      <c r="B73" t="s">
        <v>22</v>
      </c>
      <c r="C73"/>
      <c r="D73" s="61">
        <v>10</v>
      </c>
      <c r="E73" t="s">
        <v>11</v>
      </c>
    </row>
    <row r="74" spans="2:5" x14ac:dyDescent="0.25">
      <c r="B74" t="s">
        <v>29</v>
      </c>
      <c r="C74"/>
      <c r="E74" t="s">
        <v>28</v>
      </c>
    </row>
  </sheetData>
  <mergeCells count="53">
    <mergeCell ref="A4:A9"/>
    <mergeCell ref="C36:G36"/>
    <mergeCell ref="C4:C6"/>
    <mergeCell ref="B4:B6"/>
    <mergeCell ref="C10:C12"/>
    <mergeCell ref="B10:B12"/>
    <mergeCell ref="F4:F6"/>
    <mergeCell ref="F10:F12"/>
    <mergeCell ref="B7:B9"/>
    <mergeCell ref="C7:C9"/>
    <mergeCell ref="F7:F9"/>
    <mergeCell ref="E22:F22"/>
    <mergeCell ref="G4:G6"/>
    <mergeCell ref="E23:F23"/>
    <mergeCell ref="E21:F21"/>
    <mergeCell ref="G45:G47"/>
    <mergeCell ref="B37:G37"/>
    <mergeCell ref="B39:B41"/>
    <mergeCell ref="B45:B47"/>
    <mergeCell ref="F39:F41"/>
    <mergeCell ref="F45:F47"/>
    <mergeCell ref="C39:C41"/>
    <mergeCell ref="C45:C47"/>
    <mergeCell ref="B42:B44"/>
    <mergeCell ref="C42:C44"/>
    <mergeCell ref="F42:F44"/>
    <mergeCell ref="G42:G44"/>
    <mergeCell ref="O4:O9"/>
    <mergeCell ref="G7:G9"/>
    <mergeCell ref="H7:H9"/>
    <mergeCell ref="H10:H12"/>
    <mergeCell ref="G10:G12"/>
    <mergeCell ref="J4:J9"/>
    <mergeCell ref="K4:K9"/>
    <mergeCell ref="H4:H6"/>
    <mergeCell ref="I4:I6"/>
    <mergeCell ref="I7:I9"/>
    <mergeCell ref="I10:I12"/>
    <mergeCell ref="AC38:AC39"/>
    <mergeCell ref="AD38:AI38"/>
    <mergeCell ref="AB40:AB42"/>
    <mergeCell ref="O19:O24"/>
    <mergeCell ref="G39:G41"/>
    <mergeCell ref="AB43:AB45"/>
    <mergeCell ref="AB46:AB48"/>
    <mergeCell ref="I37:P37"/>
    <mergeCell ref="I38:J38"/>
    <mergeCell ref="K38:M38"/>
    <mergeCell ref="N38:P38"/>
    <mergeCell ref="Q38:S38"/>
    <mergeCell ref="I39:J39"/>
    <mergeCell ref="I40:I45"/>
    <mergeCell ref="AB38:AB39"/>
  </mergeCells>
  <hyperlinks>
    <hyperlink ref="J36" r:id="rId1" xr:uid="{38CFEEFA-A886-4395-8B9B-1AEB159CF16E}"/>
  </hyperlinks>
  <pageMargins left="0.7" right="0.7" top="0.75" bottom="0.75" header="0.3" footer="0.3"/>
  <pageSetup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4105" r:id="rId5" name="diff_select">
          <controlPr defaultSize="0" autoLine="0" autoPict="0" r:id="rId6">
            <anchor moveWithCells="1">
              <from>
                <xdr:col>2</xdr:col>
                <xdr:colOff>9525</xdr:colOff>
                <xdr:row>20</xdr:row>
                <xdr:rowOff>381000</xdr:rowOff>
              </from>
              <to>
                <xdr:col>2</xdr:col>
                <xdr:colOff>2743200</xdr:colOff>
                <xdr:row>21</xdr:row>
                <xdr:rowOff>419100</xdr:rowOff>
              </to>
            </anchor>
          </controlPr>
        </control>
      </mc:Choice>
      <mc:Fallback>
        <control shapeId="4105" r:id="rId5" name="diff_select"/>
      </mc:Fallback>
    </mc:AlternateContent>
    <mc:AlternateContent xmlns:mc="http://schemas.openxmlformats.org/markup-compatibility/2006">
      <mc:Choice Requires="x14">
        <control shapeId="4097" r:id="rId7" name="Button 1">
          <controlPr defaultSize="0" print="0" autoFill="0" autoPict="0" macro="[0]!reset_req_material_input">
            <anchor moveWithCells="1" sizeWithCells="1">
              <from>
                <xdr:col>2</xdr:col>
                <xdr:colOff>0</xdr:colOff>
                <xdr:row>24</xdr:row>
                <xdr:rowOff>0</xdr:rowOff>
              </from>
              <to>
                <xdr:col>3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8" name="Button 3">
          <controlPr defaultSize="0" print="0" autoFill="0" autoPict="0" macro="[0]!plaing_module">
            <anchor moveWithCells="1" sizeWithCells="1">
              <from>
                <xdr:col>4</xdr:col>
                <xdr:colOff>0</xdr:colOff>
                <xdr:row>24</xdr:row>
                <xdr:rowOff>0</xdr:rowOff>
              </from>
              <to>
                <xdr:col>7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9" name="Button 8">
          <controlPr defaultSize="0" print="0" autoFill="0" autoPict="0" macro="[0]!Sel_Diff">
            <anchor moveWithCells="1">
              <from>
                <xdr:col>1</xdr:col>
                <xdr:colOff>628650</xdr:colOff>
                <xdr:row>20</xdr:row>
                <xdr:rowOff>0</xdr:rowOff>
              </from>
              <to>
                <xdr:col>2</xdr:col>
                <xdr:colOff>2752725</xdr:colOff>
                <xdr:row>21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Instruction (do not delet)</vt:lpstr>
      <vt:lpstr> base (do not delet)</vt:lpstr>
      <vt:lpstr>difficultys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2024-02-16T18:01:15Z</dcterms:created>
  <dcterms:modified xsi:type="dcterms:W3CDTF">2024-03-21T11:51:38Z</dcterms:modified>
</cp:coreProperties>
</file>