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29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I:\My Drive\projects\vba\HSR_planner\"/>
    </mc:Choice>
  </mc:AlternateContent>
  <xr:revisionPtr revIDLastSave="0" documentId="13_ncr:1_{729C2BBA-146F-4BDA-BD72-1E88C61DEDA6}" xr6:coauthVersionLast="47" xr6:coauthVersionMax="47" xr10:uidLastSave="{00000000-0000-0000-0000-000000000000}"/>
  <bookViews>
    <workbookView xWindow="390" yWindow="390" windowWidth="21600" windowHeight="11295" activeTab="2" xr2:uid="{F8859D87-14B6-4857-A5EA-D9CB8CA08E4B}"/>
  </bookViews>
  <sheets>
    <sheet name="Instruction" sheetId="1" r:id="rId1"/>
    <sheet name="base " sheetId="4" r:id="rId2"/>
    <sheet name="clara" sheetId="52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14" i="52" l="1"/>
  <c r="J15" i="52"/>
  <c r="J16" i="52"/>
  <c r="J17" i="52"/>
  <c r="J18" i="52"/>
  <c r="J19" i="52"/>
  <c r="H14" i="52"/>
  <c r="H15" i="52"/>
  <c r="H16" i="52"/>
  <c r="H17" i="52"/>
  <c r="H18" i="52"/>
  <c r="H19" i="52"/>
  <c r="F14" i="52"/>
  <c r="F15" i="52"/>
  <c r="F16" i="52"/>
  <c r="F17" i="52"/>
  <c r="F18" i="52"/>
  <c r="F19" i="52"/>
  <c r="D14" i="52"/>
  <c r="D15" i="52"/>
  <c r="D16" i="52"/>
  <c r="D17" i="52"/>
  <c r="D18" i="52"/>
  <c r="D19" i="52"/>
  <c r="B14" i="52"/>
  <c r="B15" i="52"/>
  <c r="B16" i="52"/>
  <c r="B17" i="52"/>
  <c r="B18" i="52"/>
  <c r="B19" i="52"/>
  <c r="F39" i="4"/>
  <c r="F10" i="4"/>
  <c r="G10" i="4" s="1"/>
  <c r="H10" i="4" s="1"/>
  <c r="F49" i="4"/>
  <c r="F48" i="4"/>
  <c r="F45" i="4"/>
  <c r="F42" i="4"/>
  <c r="F4" i="4"/>
  <c r="F7" i="4"/>
  <c r="G7" i="4" s="1"/>
  <c r="H7" i="4" s="1"/>
  <c r="F15" i="4"/>
  <c r="G15" i="4" s="1"/>
  <c r="H15" i="4" s="1"/>
  <c r="F13" i="4"/>
  <c r="F14" i="4"/>
  <c r="G14" i="4" s="1"/>
  <c r="H14" i="4" s="1"/>
  <c r="G13" i="4" l="1"/>
  <c r="H13" i="4" s="1"/>
  <c r="G4" i="4"/>
  <c r="H4" i="4" s="1"/>
  <c r="I4" i="4" l="1"/>
  <c r="J4" i="4" s="1"/>
</calcChain>
</file>

<file path=xl/sharedStrings.xml><?xml version="1.0" encoding="utf-8"?>
<sst xmlns="http://schemas.openxmlformats.org/spreadsheetml/2006/main" count="284" uniqueCount="55">
  <si>
    <t>name/type</t>
  </si>
  <si>
    <t>daily power</t>
  </si>
  <si>
    <t>power required</t>
  </si>
  <si>
    <t>Days</t>
  </si>
  <si>
    <t>rounded values</t>
  </si>
  <si>
    <t>reqired materials (input)</t>
  </si>
  <si>
    <t>Meterial Type</t>
  </si>
  <si>
    <t>Drop table</t>
  </si>
  <si>
    <t>Boss : trace material</t>
  </si>
  <si>
    <t>mini boss : character ascension material</t>
  </si>
  <si>
    <t>path : trace material</t>
  </si>
  <si>
    <t>Exp Cards</t>
  </si>
  <si>
    <t>Cash</t>
  </si>
  <si>
    <t>Short form</t>
  </si>
  <si>
    <t>reqired materials (purple)</t>
  </si>
  <si>
    <t>Blue</t>
  </si>
  <si>
    <t>Green</t>
  </si>
  <si>
    <t xml:space="preserve">Purple </t>
  </si>
  <si>
    <t xml:space="preserve"> Materials Rarity</t>
  </si>
  <si>
    <t>EC</t>
  </si>
  <si>
    <t>MBCAM</t>
  </si>
  <si>
    <t>BTM</t>
  </si>
  <si>
    <t>PTM</t>
  </si>
  <si>
    <t>C</t>
  </si>
  <si>
    <t>total Power</t>
  </si>
  <si>
    <t>power       (per run)</t>
  </si>
  <si>
    <t>Drops           (per run)</t>
  </si>
  <si>
    <t>Drops (purpal)</t>
  </si>
  <si>
    <t>note : change "Drops (per run)" columun if needed this are drops for max tier</t>
  </si>
  <si>
    <t>Power</t>
  </si>
  <si>
    <t>Daily power</t>
  </si>
  <si>
    <t>DP</t>
  </si>
  <si>
    <t>B</t>
  </si>
  <si>
    <t>battery</t>
  </si>
  <si>
    <t>dosent matter</t>
  </si>
  <si>
    <t>Full name</t>
  </si>
  <si>
    <t>Power per run</t>
  </si>
  <si>
    <t>Day 0</t>
  </si>
  <si>
    <t>Day 1</t>
  </si>
  <si>
    <t>Day 2</t>
  </si>
  <si>
    <t>Sun</t>
  </si>
  <si>
    <t>Day 3</t>
  </si>
  <si>
    <t>Mon</t>
  </si>
  <si>
    <t>Tue</t>
  </si>
  <si>
    <t>Remaining</t>
  </si>
  <si>
    <t>Brakedown Day 0</t>
  </si>
  <si>
    <t>Brakedown Day 1</t>
  </si>
  <si>
    <t>Brakedown Day 2</t>
  </si>
  <si>
    <t>Wed</t>
  </si>
  <si>
    <t>Brakedown Day 3</t>
  </si>
  <si>
    <t>Thu</t>
  </si>
  <si>
    <t>Day 4</t>
  </si>
  <si>
    <t>Brakedown Day 4</t>
  </si>
  <si>
    <t>Image</t>
  </si>
  <si>
    <t>Excluded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</si>
</sst>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5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57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u/>
      <sz val="11"/>
      <color theme="11"/>
      <name val="Calibri"/>
      <family val="2"/>
      <scheme val="minor"/>
    </font>
    <font>
      <b/>
      <sz val="14"/>
      <color rgb="FF9C5700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7030A0"/>
      <name val="Calibri"/>
      <family val="2"/>
      <scheme val="minor"/>
    </font>
    <font>
      <sz val="11"/>
      <color theme="4"/>
      <name val="Calibri"/>
      <family val="2"/>
      <scheme val="minor"/>
    </font>
    <font>
      <b/>
      <sz val="11"/>
      <color rgb="FF006100"/>
      <name val="Calibri"/>
      <family val="2"/>
      <scheme val="minor"/>
    </font>
    <font>
      <b/>
      <sz val="11"/>
      <color rgb="FF7030A0"/>
      <name val="Calibri"/>
      <family val="2"/>
      <scheme val="minor"/>
    </font>
    <font>
      <b/>
      <sz val="11"/>
      <color theme="4"/>
      <name val="Calibri"/>
      <family val="2"/>
      <scheme val="minor"/>
    </font>
    <font>
      <b/>
      <sz val="18"/>
      <color rgb="FF3F3F76"/>
      <name val="Calibri"/>
      <family val="2"/>
      <scheme val="minor"/>
    </font>
    <font>
      <b/>
      <u/>
      <sz val="18"/>
      <color theme="11"/>
      <name val="Calibri"/>
      <family val="2"/>
      <scheme val="minor"/>
    </font>
    <font>
      <b/>
      <sz val="18"/>
      <color rgb="FF9C5700"/>
      <name val="Calibri"/>
      <family val="2"/>
      <scheme val="minor"/>
    </font>
    <font>
      <b/>
      <i/>
      <sz val="18"/>
      <color rgb="FF7F7F7F"/>
      <name val="Calibri"/>
      <family val="2"/>
      <scheme val="minor"/>
    </font>
    <font>
      <b/>
      <sz val="11"/>
      <color rgb="FF44546A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F2F2F2"/>
      </patternFill>
    </fill>
    <fill>
      <patternFill patternType="solid">
        <fgColor rgb="FFFFCC99"/>
      </patternFill>
    </fill>
    <fill>
      <patternFill patternType="solid">
        <fgColor rgb="FFFF99FF"/>
        <bgColor indexed="64"/>
      </patternFill>
    </fill>
    <fill>
      <patternFill patternType="solid">
        <fgColor rgb="FFB1F9B8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9F80"/>
        <bgColor indexed="64"/>
      </patternFill>
    </fill>
    <fill>
      <patternFill patternType="solid">
        <fgColor rgb="FFFFE680"/>
        <bgColor indexed="64"/>
      </patternFill>
    </fill>
    <fill>
      <patternFill patternType="solid">
        <fgColor rgb="FFFF80FF"/>
        <bgColor indexed="64"/>
      </patternFill>
    </fill>
    <fill>
      <patternFill patternType="solid">
        <fgColor rgb="FF63CBFF"/>
        <bgColor indexed="64"/>
      </patternFill>
    </fill>
  </fills>
  <borders count="5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/>
      <bottom/>
      <diagonal/>
    </border>
    <border>
      <left/>
      <right/>
      <top/>
      <bottom style="thick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ck">
        <color indexed="64"/>
      </right>
      <top/>
      <bottom style="medium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7F7F7F"/>
      </left>
      <right style="thin">
        <color rgb="FF7F7F7F"/>
      </right>
      <top style="thick">
        <color theme="4" tint="0.499984740745262"/>
      </top>
      <bottom/>
      <diagonal/>
    </border>
    <border>
      <left style="thin">
        <color rgb="FF7F7F7F"/>
      </left>
      <right style="thin">
        <color rgb="FF7F7F7F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rgb="FF7F7F7F"/>
      </left>
      <right style="thin">
        <color rgb="FF7F7F7F"/>
      </right>
      <top/>
      <bottom style="medium">
        <color indexed="64"/>
      </bottom>
      <diagonal/>
    </border>
    <border>
      <left style="thin">
        <color indexed="64"/>
      </left>
      <right/>
      <top style="thick">
        <color theme="4" tint="0.499984740745262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theme="4"/>
      </right>
      <top style="thin">
        <color theme="4"/>
      </top>
      <bottom style="thick">
        <color theme="4" tint="0.499984740745262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/>
      <right style="thin">
        <color rgb="FF7F7F7F"/>
      </right>
      <top style="thick">
        <color theme="4" tint="0.499984740745262"/>
      </top>
      <bottom/>
      <diagonal/>
    </border>
    <border>
      <left/>
      <right style="thin">
        <color rgb="FF7F7F7F"/>
      </right>
      <top/>
      <bottom/>
      <diagonal/>
    </border>
    <border>
      <left style="thin">
        <color theme="1"/>
      </left>
      <right style="thin">
        <color theme="4"/>
      </right>
      <top style="thin">
        <color theme="4"/>
      </top>
      <bottom style="thick">
        <color theme="4" tint="0.499984740745262"/>
      </bottom>
      <diagonal/>
    </border>
    <border>
      <left/>
      <right style="thin">
        <color indexed="64"/>
      </right>
      <top/>
      <bottom/>
      <diagonal/>
    </border>
    <border>
      <left style="thick">
        <color theme="1"/>
      </left>
      <right style="thick">
        <color indexed="64"/>
      </right>
      <top style="thick">
        <color theme="1"/>
      </top>
      <bottom style="thick">
        <color theme="1"/>
      </bottom>
      <diagonal/>
    </border>
    <border>
      <left style="thick">
        <color indexed="64"/>
      </left>
      <right style="thick">
        <color indexed="64"/>
      </right>
      <top style="thick">
        <color theme="1"/>
      </top>
      <bottom style="thick">
        <color theme="1"/>
      </bottom>
      <diagonal/>
    </border>
    <border>
      <left style="thick">
        <color indexed="64"/>
      </left>
      <right style="thick">
        <color theme="1"/>
      </right>
      <top style="thick">
        <color theme="1"/>
      </top>
      <bottom style="thick">
        <color theme="1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rgb="FF7F7F7F"/>
      </right>
      <top style="medium">
        <color indexed="64"/>
      </top>
      <bottom/>
      <diagonal/>
    </border>
    <border>
      <left/>
      <right style="thin">
        <color rgb="FF7F7F7F"/>
      </right>
      <top/>
      <bottom style="medium">
        <color indexed="64"/>
      </bottom>
      <diagonal/>
    </border>
    <border>
      <left style="thick">
        <color indexed="64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rgb="FF7F7F7F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</borders>
  <cellStyleXfs count="10">
    <xf numFmtId="0" fontId="0" fillId="0" borderId="0"/>
    <xf numFmtId="0" fontId="3" fillId="0" borderId="1" applyNumberFormat="0" applyFill="0" applyAlignment="0" applyProtection="0"/>
    <xf numFmtId="0" fontId="4" fillId="2" borderId="0" applyNumberFormat="0" applyBorder="0" applyAlignment="0" applyProtection="0"/>
    <xf numFmtId="0" fontId="5" fillId="3" borderId="0" applyNumberFormat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9" fillId="0" borderId="9" applyNumberFormat="0" applyFill="0" applyAlignment="0" applyProtection="0"/>
    <xf numFmtId="0" fontId="10" fillId="0" borderId="0" applyNumberFormat="0" applyFill="0" applyBorder="0" applyAlignment="0" applyProtection="0"/>
    <xf numFmtId="0" fontId="11" fillId="4" borderId="10" applyNumberFormat="0" applyAlignment="0" applyProtection="0"/>
    <xf numFmtId="0" fontId="13" fillId="5" borderId="10" applyNumberFormat="0" applyAlignment="0" applyProtection="0"/>
  </cellStyleXfs>
  <cellXfs count="127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/>
    <xf numFmtId="0" fontId="0" fillId="0" borderId="0" xfId="0" applyProtection="1"/>
    <xf numFmtId="0" fontId="0" fillId="0" borderId="0" xfId="0" applyAlignment="1">
      <alignment horizontal="center" wrapText="1"/>
    </xf>
    <xf numFmtId="0" fontId="0" fillId="0" borderId="0" xfId="0" applyAlignment="1" applyProtection="1">
      <alignment horizontal="center" wrapText="1"/>
    </xf>
    <xf numFmtId="0" fontId="0" fillId="0" borderId="0" xfId="0" applyAlignment="1">
      <alignment horizontal="center" vertical="center" wrapText="1"/>
    </xf>
    <xf numFmtId="0" fontId="0" fillId="0" borderId="0" xfId="0" applyAlignment="1" applyProtection="1">
      <alignment horizontal="center" vertical="center" wrapText="1"/>
    </xf>
    <xf numFmtId="0" fontId="0" fillId="0" borderId="0" xfId="0" applyBorder="1" applyAlignment="1">
      <alignment horizontal="center" vertical="center" wrapText="1"/>
    </xf>
    <xf numFmtId="0" fontId="0" fillId="0" borderId="2" xfId="0" applyBorder="1" applyAlignment="1" applyProtection="1">
      <alignment horizontal="center" wrapText="1"/>
    </xf>
    <xf numFmtId="0" fontId="0" fillId="0" borderId="2" xfId="0" applyBorder="1" applyProtection="1"/>
    <xf numFmtId="0" fontId="3" fillId="0" borderId="3" xfId="1" applyBorder="1" applyAlignment="1">
      <alignment horizontal="center" vertical="center" wrapText="1"/>
    </xf>
    <xf numFmtId="0" fontId="3" fillId="0" borderId="7" xfId="1" applyBorder="1" applyAlignment="1">
      <alignment horizontal="center" vertical="center" wrapText="1"/>
    </xf>
    <xf numFmtId="0" fontId="3" fillId="0" borderId="8" xfId="1" applyBorder="1" applyAlignment="1">
      <alignment horizontal="center" vertical="center" wrapText="1"/>
    </xf>
    <xf numFmtId="0" fontId="0" fillId="0" borderId="2" xfId="0" applyBorder="1"/>
    <xf numFmtId="0" fontId="0" fillId="0" borderId="0" xfId="0" applyBorder="1" applyAlignment="1" applyProtection="1">
      <alignment horizontal="center" wrapText="1"/>
    </xf>
    <xf numFmtId="0" fontId="0" fillId="0" borderId="0" xfId="0" applyBorder="1" applyProtection="1"/>
    <xf numFmtId="0" fontId="0" fillId="0" borderId="0" xfId="0" applyAlignment="1">
      <alignment horizontal="center" wrapText="1"/>
    </xf>
    <xf numFmtId="0" fontId="0" fillId="0" borderId="0" xfId="0" applyAlignment="1">
      <alignment vertical="center"/>
    </xf>
    <xf numFmtId="0" fontId="0" fillId="0" borderId="0" xfId="0" applyAlignment="1" applyProtection="1">
      <alignment vertical="center"/>
    </xf>
    <xf numFmtId="0" fontId="4" fillId="0" borderId="12" xfId="2" applyFill="1" applyBorder="1" applyAlignment="1" applyProtection="1">
      <alignment horizontal="center" vertical="center" wrapText="1"/>
      <protection locked="0"/>
    </xf>
    <xf numFmtId="0" fontId="14" fillId="0" borderId="13" xfId="2" applyFont="1" applyFill="1" applyBorder="1" applyAlignment="1" applyProtection="1">
      <alignment horizontal="center" vertical="center" wrapText="1"/>
      <protection locked="0"/>
    </xf>
    <xf numFmtId="0" fontId="14" fillId="0" borderId="4" xfId="2" applyFont="1" applyFill="1" applyBorder="1" applyAlignment="1" applyProtection="1">
      <alignment horizontal="center" vertical="center" wrapText="1"/>
      <protection locked="0"/>
    </xf>
    <xf numFmtId="0" fontId="15" fillId="0" borderId="4" xfId="2" applyFont="1" applyFill="1" applyBorder="1" applyAlignment="1" applyProtection="1">
      <alignment horizontal="center" vertical="center" wrapText="1"/>
      <protection locked="0"/>
    </xf>
    <xf numFmtId="0" fontId="11" fillId="4" borderId="19" xfId="8" applyBorder="1" applyAlignment="1" applyProtection="1">
      <alignment vertical="center" wrapText="1"/>
      <protection locked="0"/>
    </xf>
    <xf numFmtId="0" fontId="4" fillId="0" borderId="18" xfId="2" applyFill="1" applyBorder="1" applyAlignment="1" applyProtection="1">
      <alignment horizontal="center" vertical="center" wrapText="1"/>
      <protection locked="0"/>
    </xf>
    <xf numFmtId="0" fontId="9" fillId="0" borderId="23" xfId="6" applyBorder="1" applyAlignment="1">
      <alignment horizontal="center" vertical="center" wrapText="1"/>
    </xf>
    <xf numFmtId="0" fontId="14" fillId="0" borderId="24" xfId="2" applyFont="1" applyFill="1" applyBorder="1" applyAlignment="1" applyProtection="1">
      <alignment horizontal="center" vertical="center" wrapText="1"/>
      <protection locked="0"/>
    </xf>
    <xf numFmtId="0" fontId="15" fillId="0" borderId="24" xfId="2" applyFont="1" applyFill="1" applyBorder="1" applyAlignment="1" applyProtection="1">
      <alignment horizontal="center" vertical="center" wrapText="1"/>
      <protection locked="0"/>
    </xf>
    <xf numFmtId="0" fontId="14" fillId="0" borderId="15" xfId="2" applyFont="1" applyFill="1" applyBorder="1" applyAlignment="1" applyProtection="1">
      <alignment horizontal="center" vertical="center" wrapText="1"/>
      <protection locked="0"/>
    </xf>
    <xf numFmtId="0" fontId="9" fillId="0" borderId="27" xfId="6" applyBorder="1" applyAlignment="1">
      <alignment horizontal="center" vertical="center" wrapText="1"/>
    </xf>
    <xf numFmtId="0" fontId="12" fillId="0" borderId="18" xfId="2" applyFont="1" applyFill="1" applyBorder="1" applyAlignment="1" applyProtection="1">
      <alignment horizontal="center" vertical="center" wrapText="1"/>
      <protection locked="0"/>
    </xf>
    <xf numFmtId="0" fontId="14" fillId="8" borderId="24" xfId="2" applyFont="1" applyFill="1" applyBorder="1" applyAlignment="1" applyProtection="1">
      <alignment horizontal="center" vertical="center" wrapText="1"/>
      <protection locked="0"/>
    </xf>
    <xf numFmtId="0" fontId="15" fillId="8" borderId="24" xfId="2" applyFont="1" applyFill="1" applyBorder="1" applyAlignment="1" applyProtection="1">
      <alignment horizontal="center" vertical="center" wrapText="1"/>
      <protection locked="0"/>
    </xf>
    <xf numFmtId="0" fontId="4" fillId="8" borderId="18" xfId="2" applyFill="1" applyBorder="1" applyAlignment="1" applyProtection="1">
      <alignment horizontal="center" vertical="center" wrapText="1"/>
      <protection locked="0"/>
    </xf>
    <xf numFmtId="0" fontId="14" fillId="8" borderId="15" xfId="2" applyFont="1" applyFill="1" applyBorder="1" applyAlignment="1" applyProtection="1">
      <alignment horizontal="center" vertical="center" wrapText="1"/>
      <protection locked="0"/>
    </xf>
    <xf numFmtId="0" fontId="12" fillId="8" borderId="18" xfId="2" applyFont="1" applyFill="1" applyBorder="1" applyAlignment="1" applyProtection="1">
      <alignment horizontal="center" vertical="center" wrapText="1"/>
      <protection locked="0"/>
    </xf>
    <xf numFmtId="0" fontId="17" fillId="7" borderId="13" xfId="2" applyFont="1" applyFill="1" applyBorder="1" applyAlignment="1" applyProtection="1">
      <alignment horizontal="center" vertical="center" wrapText="1"/>
      <protection locked="0"/>
    </xf>
    <xf numFmtId="0" fontId="18" fillId="7" borderId="4" xfId="2" applyFont="1" applyFill="1" applyBorder="1" applyAlignment="1" applyProtection="1">
      <alignment horizontal="center" vertical="center" wrapText="1"/>
      <protection locked="0"/>
    </xf>
    <xf numFmtId="0" fontId="16" fillId="7" borderId="12" xfId="2" applyFont="1" applyFill="1" applyBorder="1" applyAlignment="1" applyProtection="1">
      <alignment horizontal="center" vertical="center" wrapText="1"/>
      <protection locked="0"/>
    </xf>
    <xf numFmtId="0" fontId="17" fillId="7" borderId="4" xfId="2" applyFont="1" applyFill="1" applyBorder="1" applyAlignment="1" applyProtection="1">
      <alignment horizontal="center" vertical="center" wrapText="1"/>
      <protection locked="0"/>
    </xf>
    <xf numFmtId="0" fontId="14" fillId="0" borderId="30" xfId="2" applyFont="1" applyFill="1" applyBorder="1" applyAlignment="1" applyProtection="1">
      <alignment horizontal="center" vertical="center" wrapText="1"/>
      <protection locked="0"/>
    </xf>
    <xf numFmtId="0" fontId="0" fillId="0" borderId="29" xfId="0" applyFont="1" applyBorder="1" applyAlignment="1" applyProtection="1">
      <alignment horizontal="center" vertical="center" wrapText="1"/>
    </xf>
    <xf numFmtId="0" fontId="0" fillId="0" borderId="30" xfId="0" applyFont="1" applyBorder="1" applyAlignment="1" applyProtection="1">
      <alignment horizontal="center" vertical="center" wrapText="1"/>
    </xf>
    <xf numFmtId="0" fontId="12" fillId="7" borderId="30" xfId="2" applyFont="1" applyFill="1" applyBorder="1" applyAlignment="1" applyProtection="1">
      <alignment horizontal="center" vertical="center" wrapText="1"/>
      <protection locked="0"/>
    </xf>
    <xf numFmtId="0" fontId="19" fillId="6" borderId="30" xfId="9" applyFont="1" applyFill="1" applyBorder="1" applyAlignment="1" applyProtection="1">
      <alignment horizontal="center" vertical="center" wrapText="1"/>
      <protection locked="0"/>
    </xf>
    <xf numFmtId="0" fontId="22" fillId="0" borderId="30" xfId="4" applyFont="1" applyBorder="1" applyAlignment="1">
      <alignment horizontal="center" vertical="center" wrapText="1"/>
    </xf>
    <xf numFmtId="0" fontId="21" fillId="3" borderId="31" xfId="3" applyFont="1" applyBorder="1" applyAlignment="1">
      <alignment horizontal="center" vertical="center" wrapText="1"/>
    </xf>
    <xf numFmtId="0" fontId="1" fillId="0" borderId="0" xfId="0" applyFont="1"/>
    <xf numFmtId="0" fontId="1" fillId="0" borderId="8" xfId="0" applyFont="1" applyBorder="1" applyAlignment="1" applyProtection="1">
      <alignment horizontal="center" vertical="center" wrapText="1"/>
    </xf>
    <xf numFmtId="0" fontId="1" fillId="0" borderId="12" xfId="0" applyFont="1" applyBorder="1" applyAlignment="1" applyProtection="1">
      <alignment horizontal="center" vertical="center" wrapText="1"/>
    </xf>
    <xf numFmtId="0" fontId="10" fillId="0" borderId="22" xfId="7" applyBorder="1" applyAlignment="1">
      <alignment horizontal="center" vertical="center" wrapText="1"/>
    </xf>
    <xf numFmtId="0" fontId="21" fillId="3" borderId="8" xfId="3" applyFont="1" applyBorder="1" applyAlignment="1">
      <alignment horizontal="center" vertical="center" wrapText="1"/>
    </xf>
    <xf numFmtId="0" fontId="20" fillId="0" borderId="8" xfId="5" applyFont="1" applyBorder="1" applyAlignment="1">
      <alignment horizontal="center" vertical="center" wrapText="1"/>
    </xf>
    <xf numFmtId="0" fontId="19" fillId="6" borderId="8" xfId="9" applyFont="1" applyFill="1" applyBorder="1" applyAlignment="1" applyProtection="1">
      <alignment horizontal="center" vertical="center" wrapText="1"/>
      <protection locked="0"/>
    </xf>
    <xf numFmtId="0" fontId="14" fillId="0" borderId="36" xfId="2" applyFont="1" applyFill="1" applyBorder="1" applyAlignment="1" applyProtection="1">
      <alignment horizontal="center" vertical="center" wrapText="1"/>
      <protection locked="0"/>
    </xf>
    <xf numFmtId="0" fontId="17" fillId="7" borderId="36" xfId="2" applyFont="1" applyFill="1" applyBorder="1" applyAlignment="1" applyProtection="1">
      <alignment horizontal="center" vertical="center" wrapText="1"/>
      <protection locked="0"/>
    </xf>
    <xf numFmtId="0" fontId="19" fillId="6" borderId="37" xfId="9" applyFont="1" applyFill="1" applyBorder="1" applyAlignment="1" applyProtection="1">
      <alignment horizontal="center" vertical="center" wrapText="1"/>
      <protection locked="0"/>
    </xf>
    <xf numFmtId="0" fontId="20" fillId="0" borderId="36" xfId="5" applyFont="1" applyBorder="1" applyAlignment="1">
      <alignment horizontal="center" vertical="center" wrapText="1"/>
    </xf>
    <xf numFmtId="0" fontId="21" fillId="3" borderId="36" xfId="3" applyFont="1" applyBorder="1" applyAlignment="1">
      <alignment horizontal="center" vertical="center" wrapText="1"/>
    </xf>
    <xf numFmtId="0" fontId="10" fillId="0" borderId="22" xfId="7" applyFont="1" applyBorder="1" applyAlignment="1">
      <alignment vertical="center" wrapText="1"/>
    </xf>
    <xf numFmtId="0" fontId="11" fillId="4" borderId="34" xfId="8" applyBorder="1" applyAlignment="1" applyProtection="1">
      <alignment vertical="center" wrapText="1"/>
      <protection locked="0"/>
    </xf>
    <xf numFmtId="0" fontId="14" fillId="0" borderId="18" xfId="2" applyFont="1" applyFill="1" applyBorder="1" applyAlignment="1" applyProtection="1">
      <alignment horizontal="center" vertical="center" wrapText="1"/>
      <protection locked="0"/>
    </xf>
    <xf numFmtId="0" fontId="14" fillId="8" borderId="18" xfId="2" applyFont="1" applyFill="1" applyBorder="1" applyAlignment="1" applyProtection="1">
      <alignment horizontal="center" vertical="center" wrapText="1"/>
      <protection locked="0"/>
    </xf>
    <xf numFmtId="0" fontId="11" fillId="4" borderId="39" xfId="8" applyBorder="1" applyAlignment="1" applyProtection="1">
      <alignment vertical="center" wrapText="1"/>
      <protection locked="0"/>
    </xf>
    <xf numFmtId="0" fontId="23" fillId="0" borderId="38" xfId="0" applyFont="1" applyBorder="1" applyAlignment="1">
      <alignment vertical="center" wrapText="1"/>
    </xf>
    <xf numFmtId="0" fontId="14" fillId="0" borderId="40" xfId="2" applyFont="1" applyFill="1" applyBorder="1" applyAlignment="1" applyProtection="1">
      <alignment horizontal="center" vertical="center" wrapText="1"/>
      <protection locked="0"/>
    </xf>
    <xf numFmtId="0" fontId="14" fillId="8" borderId="40" xfId="2" applyFont="1" applyFill="1" applyBorder="1" applyAlignment="1" applyProtection="1">
      <alignment horizontal="center" vertical="center" wrapText="1"/>
      <protection locked="0"/>
    </xf>
    <xf numFmtId="0" fontId="11" fillId="4" borderId="41" xfId="8" applyBorder="1" applyAlignment="1" applyProtection="1">
      <alignment vertical="center" wrapText="1"/>
      <protection locked="0"/>
    </xf>
    <xf numFmtId="0" fontId="10" fillId="0" borderId="22" xfId="7" applyBorder="1" applyAlignment="1">
      <alignment horizontal="center" vertical="center" wrapText="1"/>
    </xf>
    <xf numFmtId="0" fontId="23" fillId="0" borderId="32" xfId="0" applyFont="1" applyBorder="1" applyAlignment="1">
      <alignment horizontal="center" vertical="center" wrapText="1"/>
    </xf>
    <xf numFmtId="0" fontId="10" fillId="0" borderId="38" xfId="7" applyFont="1" applyBorder="1" applyAlignment="1">
      <alignment horizontal="center" vertical="center" wrapText="1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 wrapText="1"/>
      <protection locked="0"/>
    </xf>
    <xf numFmtId="0" fontId="24" fillId="0" borderId="4" xfId="0" applyFont="1" applyBorder="1" applyAlignment="1" applyProtection="1">
      <alignment horizontal="center" vertical="center" wrapText="1"/>
      <protection locked="0"/>
    </xf>
    <xf numFmtId="0" fontId="24" fillId="0" borderId="5" xfId="0" applyFont="1" applyBorder="1" applyAlignment="1" applyProtection="1">
      <alignment horizontal="center" vertical="center" wrapText="1"/>
      <protection locked="0"/>
    </xf>
    <xf numFmtId="0" fontId="24" fillId="0" borderId="6" xfId="0" applyFont="1" applyBorder="1" applyAlignment="1" applyProtection="1">
      <alignment horizontal="center" vertical="center" wrapText="1"/>
      <protection locked="0"/>
    </xf>
    <xf numFmtId="0" fontId="0" fillId="0" borderId="0" xfId="0" applyAlignment="1">
      <alignment horizontal="center"/>
    </xf>
    <xf numFmtId="0" fontId="3" fillId="0" borderId="42" xfId="1" applyBorder="1" applyAlignment="1">
      <alignment horizontal="center" vertical="center" wrapText="1"/>
    </xf>
    <xf numFmtId="0" fontId="3" fillId="0" borderId="7" xfId="1" applyBorder="1" applyAlignment="1">
      <alignment horizontal="center" vertical="center" wrapText="1"/>
    </xf>
    <xf numFmtId="0" fontId="16" fillId="7" borderId="11" xfId="2" applyFont="1" applyFill="1" applyBorder="1" applyAlignment="1" applyProtection="1">
      <alignment horizontal="center" vertical="center" wrapText="1"/>
      <protection locked="0"/>
    </xf>
    <xf numFmtId="0" fontId="16" fillId="7" borderId="8" xfId="2" applyFont="1" applyFill="1" applyBorder="1" applyAlignment="1" applyProtection="1">
      <alignment horizontal="center" vertical="center" wrapText="1"/>
      <protection locked="0"/>
    </xf>
    <xf numFmtId="0" fontId="16" fillId="7" borderId="35" xfId="2" applyFont="1" applyFill="1" applyBorder="1" applyAlignment="1" applyProtection="1">
      <alignment horizontal="center" vertical="center" wrapText="1"/>
      <protection locked="0"/>
    </xf>
    <xf numFmtId="0" fontId="0" fillId="0" borderId="0" xfId="0" applyAlignment="1">
      <alignment horizontal="center" vertical="top" wrapText="1"/>
    </xf>
    <xf numFmtId="0" fontId="1" fillId="0" borderId="11" xfId="0" applyFont="1" applyBorder="1" applyAlignment="1" applyProtection="1">
      <alignment horizontal="center" vertical="center" wrapText="1"/>
    </xf>
    <xf numFmtId="0" fontId="1" fillId="0" borderId="8" xfId="0" applyFont="1" applyBorder="1" applyAlignment="1" applyProtection="1">
      <alignment horizontal="center" vertical="center" wrapText="1"/>
    </xf>
    <xf numFmtId="0" fontId="1" fillId="0" borderId="12" xfId="0" applyFont="1" applyBorder="1" applyAlignment="1" applyProtection="1">
      <alignment horizontal="center" vertical="center" wrapText="1"/>
    </xf>
    <xf numFmtId="0" fontId="19" fillId="6" borderId="11" xfId="9" applyFont="1" applyFill="1" applyBorder="1" applyAlignment="1" applyProtection="1">
      <alignment horizontal="center" vertical="center" wrapText="1"/>
      <protection locked="0"/>
    </xf>
    <xf numFmtId="0" fontId="19" fillId="6" borderId="8" xfId="9" applyFont="1" applyFill="1" applyBorder="1" applyAlignment="1" applyProtection="1">
      <alignment horizontal="center" vertical="center" wrapText="1"/>
      <protection locked="0"/>
    </xf>
    <xf numFmtId="0" fontId="19" fillId="6" borderId="12" xfId="9" applyFont="1" applyFill="1" applyBorder="1" applyAlignment="1" applyProtection="1">
      <alignment horizontal="center" vertical="center" wrapText="1"/>
      <protection locked="0"/>
    </xf>
    <xf numFmtId="0" fontId="11" fillId="4" borderId="17" xfId="8" applyBorder="1" applyAlignment="1" applyProtection="1">
      <alignment horizontal="center" vertical="center" wrapText="1"/>
      <protection locked="0"/>
    </xf>
    <xf numFmtId="0" fontId="11" fillId="4" borderId="19" xfId="8" applyBorder="1" applyAlignment="1" applyProtection="1">
      <alignment horizontal="center" vertical="center" wrapText="1"/>
      <protection locked="0"/>
    </xf>
    <xf numFmtId="0" fontId="3" fillId="0" borderId="0" xfId="1" applyBorder="1" applyAlignment="1">
      <alignment horizontal="center" wrapText="1"/>
    </xf>
    <xf numFmtId="0" fontId="3" fillId="0" borderId="28" xfId="1" applyBorder="1" applyAlignment="1">
      <alignment horizontal="center" wrapText="1"/>
    </xf>
    <xf numFmtId="0" fontId="10" fillId="0" borderId="20" xfId="7" applyBorder="1" applyAlignment="1">
      <alignment horizontal="center" vertical="center" wrapText="1"/>
    </xf>
    <xf numFmtId="0" fontId="10" fillId="0" borderId="21" xfId="7" applyBorder="1" applyAlignment="1">
      <alignment horizontal="center" vertical="center" wrapText="1"/>
    </xf>
    <xf numFmtId="0" fontId="10" fillId="0" borderId="22" xfId="7" applyBorder="1" applyAlignment="1">
      <alignment horizontal="center" vertical="center" wrapText="1"/>
    </xf>
    <xf numFmtId="0" fontId="11" fillId="4" borderId="25" xfId="8" applyBorder="1" applyAlignment="1" applyProtection="1">
      <alignment horizontal="center" vertical="center" wrapText="1"/>
      <protection locked="0"/>
    </xf>
    <xf numFmtId="0" fontId="11" fillId="4" borderId="26" xfId="8" applyBorder="1" applyAlignment="1" applyProtection="1">
      <alignment horizontal="center" vertical="center" wrapText="1"/>
      <protection locked="0"/>
    </xf>
    <xf numFmtId="0" fontId="11" fillId="4" borderId="33" xfId="8" applyBorder="1" applyAlignment="1" applyProtection="1">
      <alignment horizontal="center" vertical="center" wrapText="1"/>
      <protection locked="0"/>
    </xf>
    <xf numFmtId="0" fontId="11" fillId="4" borderId="34" xfId="8" applyBorder="1" applyAlignment="1" applyProtection="1">
      <alignment horizontal="center" vertical="center" wrapText="1"/>
      <protection locked="0"/>
    </xf>
    <xf numFmtId="0" fontId="11" fillId="4" borderId="16" xfId="8" applyBorder="1" applyAlignment="1" applyProtection="1">
      <alignment horizontal="center" vertical="center" wrapText="1"/>
      <protection locked="0"/>
    </xf>
    <xf numFmtId="0" fontId="0" fillId="0" borderId="0" xfId="0"/>
    <xf numFmtId="0" fontId="20" fillId="0" borderId="11" xfId="5" applyFont="1" applyBorder="1" applyAlignment="1">
      <alignment horizontal="center" vertical="center" wrapText="1"/>
    </xf>
    <xf numFmtId="0" fontId="20" fillId="0" borderId="8" xfId="5" applyFont="1" applyBorder="1" applyAlignment="1">
      <alignment horizontal="center" vertical="center" wrapText="1"/>
    </xf>
    <xf numFmtId="0" fontId="20" fillId="0" borderId="12" xfId="5" applyFont="1" applyBorder="1" applyAlignment="1">
      <alignment horizontal="center" vertical="center" wrapText="1"/>
    </xf>
    <xf numFmtId="0" fontId="21" fillId="3" borderId="11" xfId="3" applyFont="1" applyBorder="1" applyAlignment="1">
      <alignment horizontal="center" vertical="center" wrapText="1"/>
    </xf>
    <xf numFmtId="0" fontId="21" fillId="3" borderId="8" xfId="3" applyFont="1" applyBorder="1" applyAlignment="1">
      <alignment horizontal="center" vertical="center" wrapText="1"/>
    </xf>
    <xf numFmtId="0" fontId="21" fillId="3" borderId="12" xfId="3" applyFont="1" applyBorder="1" applyAlignment="1">
      <alignment horizontal="center" vertical="center" wrapText="1"/>
    </xf>
    <xf numFmtId="0" fontId="21" fillId="3" borderId="14" xfId="3" applyFont="1" applyBorder="1" applyAlignment="1">
      <alignment horizontal="center" vertical="center" wrapText="1"/>
    </xf>
    <xf numFmtId="0" fontId="20" fillId="0" borderId="14" xfId="5" applyFont="1" applyBorder="1" applyAlignment="1">
      <alignment horizontal="center" vertical="center" wrapText="1"/>
    </xf>
    <xf numFmtId="0" fontId="21" fillId="3" borderId="35" xfId="3" applyFont="1" applyBorder="1" applyAlignment="1">
      <alignment horizontal="center" vertical="center" wrapText="1"/>
    </xf>
    <xf numFmtId="0" fontId="8" fillId="3" borderId="11" xfId="3" applyFont="1" applyBorder="1" applyAlignment="1">
      <alignment horizontal="center" vertical="center" wrapText="1"/>
    </xf>
    <xf numFmtId="0" fontId="8" fillId="3" borderId="8" xfId="3" applyFont="1" applyBorder="1" applyAlignment="1">
      <alignment horizontal="center" vertical="center" wrapText="1"/>
    </xf>
    <xf numFmtId="0" fontId="8" fillId="3" borderId="35" xfId="3" applyFont="1" applyBorder="1" applyAlignment="1">
      <alignment horizontal="center" vertical="center" wrapText="1"/>
    </xf>
    <xf numFmtId="0" fontId="1" fillId="0" borderId="44" xfId="0" applyFont="1" applyBorder="1" applyAlignment="1">
      <alignment horizontal="center" vertical="center"/>
    </xf>
    <xf numFmtId="0" fontId="0" fillId="0" borderId="44" xfId="0" applyBorder="1" applyAlignment="1">
      <alignment horizontal="center" vertical="center"/>
    </xf>
    <xf numFmtId="0" fontId="0" fillId="0" borderId="45" xfId="0" applyBorder="1" applyAlignment="1">
      <alignment horizontal="center" vertical="center"/>
    </xf>
    <xf numFmtId="0" fontId="1" fillId="12" borderId="46" xfId="0" applyFont="1" applyFill="1" applyBorder="1" applyAlignment="1">
      <alignment horizontal="center" vertical="center"/>
    </xf>
    <xf numFmtId="0" fontId="1" fillId="12" borderId="47" xfId="0" applyFont="1" applyFill="1" applyBorder="1" applyAlignment="1">
      <alignment horizontal="center" vertical="center"/>
    </xf>
    <xf numFmtId="14" fontId="1" fillId="9" borderId="43" xfId="0" applyNumberFormat="1" applyFont="1" applyFill="1" applyBorder="1" applyAlignment="1">
      <alignment horizontal="center" vertical="center"/>
    </xf>
    <xf numFmtId="0" fontId="1" fillId="10" borderId="48" xfId="0" applyFont="1" applyFill="1" applyBorder="1" applyAlignment="1">
      <alignment horizontal="center" vertical="center"/>
    </xf>
    <xf numFmtId="0" fontId="1" fillId="0" borderId="49" xfId="0" applyFont="1" applyBorder="1" applyAlignment="1">
      <alignment horizontal="center" vertical="center"/>
    </xf>
    <xf numFmtId="0" fontId="1" fillId="11" borderId="46" xfId="0" applyFont="1" applyFill="1" applyBorder="1" applyAlignment="1">
      <alignment horizontal="center" vertical="center" wrapText="1"/>
    </xf>
    <xf numFmtId="0" fontId="1" fillId="11" borderId="47" xfId="0" applyFont="1" applyFill="1" applyBorder="1" applyAlignment="1">
      <alignment horizontal="center" vertical="center" wrapText="1"/>
    </xf>
    <xf numFmtId="0" fontId="0" fillId="0" borderId="49" xfId="0" applyBorder="1" applyAlignment="1">
      <alignment horizontal="center" vertical="center"/>
    </xf>
    <xf numFmtId="0" fontId="0" fillId="0" borderId="50" xfId="0" applyBorder="1" applyAlignment="1">
      <alignment horizontal="center" vertical="center"/>
    </xf>
  </cellXfs>
  <cellStyles count="10">
    <cellStyle name="Calculation" xfId="8" builtinId="22"/>
    <cellStyle name="Explanatory Text" xfId="4" builtinId="53"/>
    <cellStyle name="Followed Hyperlink" xfId="5" builtinId="9"/>
    <cellStyle name="Good" xfId="2" builtinId="26"/>
    <cellStyle name="Heading 1" xfId="1" builtinId="16"/>
    <cellStyle name="Heading 2" xfId="6" builtinId="17"/>
    <cellStyle name="Heading 4" xfId="7" builtinId="19"/>
    <cellStyle name="Input" xfId="9" builtinId="20"/>
    <cellStyle name="Neutral" xfId="3" builtinId="28"/>
    <cellStyle name="Normal" xfId="0" builtinId="0"/>
  </cellStyles>
  <dxfs count="0"/>
  <tableStyles count="0" defaultTableStyle="TableStyleMedium2" defaultPivotStyle="PivotStyleLight16"/>
  <colors>
    <mruColors>
      <color rgb="FFB1F9B8"/>
      <color rgb="FFD8EACC"/>
      <color rgb="FFFF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152400</xdr:colOff>
      <xdr:row>3</xdr:row>
      <xdr:rowOff>180975</xdr:rowOff>
    </xdr:from>
    <xdr:to>
      <xdr:col>1</xdr:col>
      <xdr:colOff>2457450</xdr:colOff>
      <xdr:row>18</xdr:row>
      <xdr:rowOff>80644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2400" y="752475"/>
          <a:ext cx="5057775" cy="2757169"/>
        </a:xfrm>
        <a:prstGeom prst="rect">
          <a:avLst/>
        </a:prstGeom>
      </xdr:spPr>
    </xdr:pic>
    <xdr:clientData/>
  </xdr:twoCellAnchor>
  <xdr:twoCellAnchor editAs="oneCell">
    <xdr:from>
      <xdr:col>2</xdr:col>
      <xdr:colOff>9525</xdr:colOff>
      <xdr:row>24</xdr:row>
      <xdr:rowOff>38100</xdr:rowOff>
    </xdr:from>
    <xdr:to>
      <xdr:col>2</xdr:col>
      <xdr:colOff>1962150</xdr:colOff>
      <xdr:row>24</xdr:row>
      <xdr:rowOff>380477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screen">
          <a:extLst>
            <a:ext uri="{28A0092B-C50C-407E-A947-70E740481C1C}">
              <a14:useLocalDpi xmlns:a14="http://schemas.microsoft.com/office/drawing/2010/main"/>
            </a:ext>
          </a:extLst>
        </a:blip>
        <a:srcRect t="5271" r="61411"/>
        <a:stretch/>
      </xdr:blipFill>
      <xdr:spPr>
        <a:xfrm>
          <a:off x="5514975" y="7048500"/>
          <a:ext cx="1952625" cy="342377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22</xdr:row>
      <xdr:rowOff>47625</xdr:rowOff>
    </xdr:from>
    <xdr:to>
      <xdr:col>3</xdr:col>
      <xdr:colOff>0</xdr:colOff>
      <xdr:row>22</xdr:row>
      <xdr:rowOff>1019175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t="30746" b="34017"/>
        <a:stretch/>
      </xdr:blipFill>
      <xdr:spPr>
        <a:xfrm>
          <a:off x="5505450" y="5276850"/>
          <a:ext cx="5057775" cy="971550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23</xdr:row>
      <xdr:rowOff>0</xdr:rowOff>
    </xdr:from>
    <xdr:to>
      <xdr:col>3</xdr:col>
      <xdr:colOff>0</xdr:colOff>
      <xdr:row>23</xdr:row>
      <xdr:rowOff>609600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-188" t="64946" r="188" b="12944"/>
        <a:stretch/>
      </xdr:blipFill>
      <xdr:spPr>
        <a:xfrm>
          <a:off x="5505450" y="6343650"/>
          <a:ext cx="5057775" cy="609600"/>
        </a:xfrm>
        <a:prstGeom prst="rect">
          <a:avLst/>
        </a:prstGeom>
      </xdr:spPr>
    </xdr:pic>
    <xdr:clientData/>
  </xdr:twoCellAnchor>
  <xdr:twoCellAnchor editAs="oneCell">
    <xdr:from>
      <xdr:col>1</xdr:col>
      <xdr:colOff>335618</xdr:colOff>
      <xdr:row>29</xdr:row>
      <xdr:rowOff>108137</xdr:rowOff>
    </xdr:from>
    <xdr:to>
      <xdr:col>2</xdr:col>
      <xdr:colOff>2440643</xdr:colOff>
      <xdr:row>29</xdr:row>
      <xdr:rowOff>993962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r="3955" b="67872"/>
        <a:stretch/>
      </xdr:blipFill>
      <xdr:spPr>
        <a:xfrm>
          <a:off x="3092265" y="9072843"/>
          <a:ext cx="4861672" cy="88582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95250</xdr:colOff>
          <xdr:row>23</xdr:row>
          <xdr:rowOff>57150</xdr:rowOff>
        </xdr:from>
        <xdr:to>
          <xdr:col>5</xdr:col>
          <xdr:colOff>809625</xdr:colOff>
          <xdr:row>26</xdr:row>
          <xdr:rowOff>114300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1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 &amp; Input needed material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133350</xdr:colOff>
          <xdr:row>20</xdr:row>
          <xdr:rowOff>19050</xdr:rowOff>
        </xdr:from>
        <xdr:to>
          <xdr:col>9</xdr:col>
          <xdr:colOff>133350</xdr:colOff>
          <xdr:row>23</xdr:row>
          <xdr:rowOff>76200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1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plan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A4927B-5B27-49F3-AF8D-F9E52E4ED845}">
  <sheetPr codeName="Sheet11"/>
  <dimension ref="A5:D31"/>
  <sheetViews>
    <sheetView topLeftCell="A13" zoomScale="85" zoomScaleNormal="85" workbookViewId="0">
      <selection activeCell="C21" sqref="C21"/>
    </sheetView>
  </sheetViews>
  <sheetFormatPr defaultRowHeight="15" x14ac:dyDescent="0.25"/>
  <cols>
    <col min="1" max="2" width="41.28515625" customWidth="1"/>
    <col min="3" max="3" width="75.85546875" customWidth="1"/>
  </cols>
  <sheetData>
    <row r="5" spans="1:4" x14ac:dyDescent="0.25">
      <c r="A5" s="1"/>
    </row>
    <row r="6" spans="1:4" x14ac:dyDescent="0.25">
      <c r="A6" s="77"/>
      <c r="B6" s="77"/>
      <c r="C6" s="77"/>
      <c r="D6" s="77"/>
    </row>
    <row r="7" spans="1:4" x14ac:dyDescent="0.25">
      <c r="C7" s="77"/>
      <c r="D7" s="77"/>
    </row>
    <row r="19" spans="1:3" ht="15.75" thickBot="1" x14ac:dyDescent="0.3"/>
    <row r="20" spans="1:3" ht="21" thickTop="1" thickBot="1" x14ac:dyDescent="0.3">
      <c r="A20" s="11" t="s">
        <v>6</v>
      </c>
      <c r="B20" s="11" t="s">
        <v>13</v>
      </c>
      <c r="C20" s="11" t="s">
        <v>53</v>
      </c>
    </row>
    <row r="21" spans="1:3" ht="52.5" customHeight="1" thickTop="1" x14ac:dyDescent="0.25">
      <c r="A21" s="74" t="s">
        <v>11</v>
      </c>
      <c r="B21" s="74" t="s">
        <v>19</v>
      </c>
      <c r="C21" s="74" t="s">
        <v>19</v>
      </c>
    </row>
    <row r="22" spans="1:3" ht="52.5" customHeight="1" x14ac:dyDescent="0.25">
      <c r="A22" s="74" t="s">
        <v>33</v>
      </c>
      <c r="B22" s="74" t="s">
        <v>32</v>
      </c>
      <c r="C22" s="74" t="s">
        <v>32</v>
      </c>
    </row>
    <row r="23" spans="1:3" ht="87.75" customHeight="1" x14ac:dyDescent="0.25">
      <c r="A23" s="75" t="s">
        <v>10</v>
      </c>
      <c r="B23" s="75" t="s">
        <v>22</v>
      </c>
      <c r="C23" s="75" t="s">
        <v>22</v>
      </c>
    </row>
    <row r="24" spans="1:3" ht="52.5" customHeight="1" x14ac:dyDescent="0.25">
      <c r="A24" s="75" t="s">
        <v>9</v>
      </c>
      <c r="B24" s="75" t="s">
        <v>20</v>
      </c>
      <c r="C24" s="75" t="s">
        <v>20</v>
      </c>
    </row>
    <row r="25" spans="1:3" ht="52.5" customHeight="1" x14ac:dyDescent="0.25">
      <c r="A25" s="75" t="s">
        <v>8</v>
      </c>
      <c r="B25" s="75" t="s">
        <v>21</v>
      </c>
      <c r="C25" s="75" t="s">
        <v>21</v>
      </c>
    </row>
    <row r="26" spans="1:3" ht="52.5" customHeight="1" thickBot="1" x14ac:dyDescent="0.3">
      <c r="A26" s="76" t="s">
        <v>12</v>
      </c>
      <c r="B26" s="76" t="s">
        <v>23</v>
      </c>
      <c r="C26" s="76" t="s">
        <v>23</v>
      </c>
    </row>
    <row r="27" spans="1:3" ht="15.75" thickTop="1" x14ac:dyDescent="0.25"/>
    <row r="29" spans="1:3" ht="15.75" thickBot="1" x14ac:dyDescent="0.3"/>
    <row r="30" spans="1:3" ht="93" customHeight="1" thickTop="1" thickBot="1" x14ac:dyDescent="0.3">
      <c r="A30" s="11" t="s">
        <v>54</v>
      </c>
      <c r="B30" s="78"/>
      <c r="C30" s="79"/>
    </row>
    <row r="31" spans="1:3" ht="15.75" thickTop="1" x14ac:dyDescent="0.25"/>
  </sheetData>
  <mergeCells count="3">
    <mergeCell ref="A6:B6"/>
    <mergeCell ref="C6:D7"/>
    <mergeCell ref="B30:C30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EECFD6-C1A6-41F3-8C80-F5E9A0F318CA}">
  <sheetPr codeName="Sheet3"/>
  <dimension ref="A1:T74"/>
  <sheetViews>
    <sheetView topLeftCell="A7" zoomScale="85" zoomScaleNormal="85" workbookViewId="0">
      <selection activeCell="I31" sqref="I31"/>
    </sheetView>
  </sheetViews>
  <sheetFormatPr defaultRowHeight="15" x14ac:dyDescent="0.25"/>
  <cols>
    <col min="1" max="1" width="9.140625" style="3"/>
    <col min="2" max="2" width="9.42578125" style="5" customWidth="1"/>
    <col min="3" max="3" width="41.28515625" style="5" customWidth="1"/>
    <col min="4" max="5" width="15.140625" style="5" customWidth="1"/>
    <col min="6" max="7" width="14.42578125" style="5" customWidth="1"/>
    <col min="8" max="8" width="14.42578125" style="3" customWidth="1"/>
    <col min="9" max="9" width="13.85546875" style="3" customWidth="1"/>
    <col min="10" max="10" width="14.140625" style="3" customWidth="1"/>
    <col min="11" max="14" width="9.140625" style="3"/>
    <col min="15" max="15" width="9.42578125" style="3" customWidth="1"/>
    <col min="16" max="16" width="41.28515625" style="3" customWidth="1"/>
    <col min="17" max="18" width="9.140625" style="3"/>
    <col min="19" max="19" width="9.42578125" style="3" customWidth="1"/>
    <col min="20" max="20" width="41.28515625" style="3" customWidth="1"/>
    <col min="21" max="16384" width="9.140625" style="3"/>
  </cols>
  <sheetData>
    <row r="1" spans="1:20" customFormat="1" x14ac:dyDescent="0.25">
      <c r="B1" s="5"/>
      <c r="C1" s="5"/>
      <c r="D1" s="5"/>
      <c r="E1" s="5"/>
      <c r="F1" s="5"/>
      <c r="G1" s="5"/>
      <c r="H1" s="3"/>
    </row>
    <row r="2" spans="1:20" ht="15.75" thickBot="1" x14ac:dyDescent="0.3">
      <c r="C2" s="9"/>
      <c r="D2" s="9"/>
      <c r="E2" s="9"/>
      <c r="F2" s="9"/>
      <c r="G2" s="9"/>
      <c r="H2" s="10"/>
      <c r="I2" s="14"/>
      <c r="J2"/>
      <c r="K2"/>
      <c r="P2"/>
    </row>
    <row r="3" spans="1:20" ht="66.75" customHeight="1" thickTop="1" thickBot="1" x14ac:dyDescent="0.3">
      <c r="A3" s="11" t="s">
        <v>1</v>
      </c>
      <c r="B3" s="11" t="s">
        <v>13</v>
      </c>
      <c r="C3" s="11" t="s">
        <v>6</v>
      </c>
      <c r="D3" s="11" t="s">
        <v>18</v>
      </c>
      <c r="E3" s="11" t="s">
        <v>5</v>
      </c>
      <c r="F3" s="11" t="s">
        <v>14</v>
      </c>
      <c r="G3" s="11" t="s">
        <v>2</v>
      </c>
      <c r="H3" s="12" t="s">
        <v>4</v>
      </c>
      <c r="I3" s="13" t="s">
        <v>24</v>
      </c>
      <c r="J3" s="11" t="s">
        <v>3</v>
      </c>
      <c r="K3"/>
      <c r="N3"/>
      <c r="O3" s="2"/>
      <c r="P3" s="2"/>
      <c r="Q3"/>
    </row>
    <row r="4" spans="1:20" ht="20.25" customHeight="1" thickTop="1" x14ac:dyDescent="0.25">
      <c r="A4" s="80">
        <v>240</v>
      </c>
      <c r="B4" s="84" t="s">
        <v>19</v>
      </c>
      <c r="C4" s="84" t="s">
        <v>11</v>
      </c>
      <c r="D4" s="21" t="s">
        <v>17</v>
      </c>
      <c r="E4" s="37">
        <v>10</v>
      </c>
      <c r="F4" s="87">
        <f>(E6/20)+(E5/4)+E4</f>
        <v>10</v>
      </c>
      <c r="G4" s="103">
        <f>F4*G39/F39</f>
        <v>44.444444444444443</v>
      </c>
      <c r="H4" s="106">
        <f>MROUND(G4,G39)</f>
        <v>40</v>
      </c>
      <c r="I4" s="106">
        <f>SUM(H4:H20)</f>
        <v>1080</v>
      </c>
      <c r="J4" s="112">
        <f>ROUNDUP(I4/A4,0)</f>
        <v>5</v>
      </c>
      <c r="K4"/>
      <c r="M4"/>
      <c r="N4" s="102"/>
      <c r="O4" s="2"/>
      <c r="P4" s="2"/>
      <c r="Q4"/>
      <c r="R4"/>
      <c r="S4"/>
      <c r="T4"/>
    </row>
    <row r="5" spans="1:20" ht="20.25" customHeight="1" x14ac:dyDescent="0.25">
      <c r="A5" s="81"/>
      <c r="B5" s="85"/>
      <c r="C5" s="85"/>
      <c r="D5" s="23" t="s">
        <v>15</v>
      </c>
      <c r="E5" s="38">
        <v>0</v>
      </c>
      <c r="F5" s="88"/>
      <c r="G5" s="104"/>
      <c r="H5" s="107"/>
      <c r="I5" s="107"/>
      <c r="J5" s="113"/>
      <c r="K5"/>
      <c r="M5"/>
      <c r="N5" s="102"/>
      <c r="O5" s="2"/>
      <c r="P5" s="2"/>
      <c r="Q5"/>
      <c r="R5"/>
      <c r="S5"/>
      <c r="T5"/>
    </row>
    <row r="6" spans="1:20" ht="20.25" customHeight="1" thickBot="1" x14ac:dyDescent="0.3">
      <c r="A6" s="81"/>
      <c r="B6" s="86"/>
      <c r="C6" s="86"/>
      <c r="D6" s="20" t="s">
        <v>16</v>
      </c>
      <c r="E6" s="39">
        <v>0</v>
      </c>
      <c r="F6" s="89"/>
      <c r="G6" s="105"/>
      <c r="H6" s="108"/>
      <c r="I6" s="107"/>
      <c r="J6" s="113"/>
      <c r="K6"/>
      <c r="M6"/>
      <c r="N6" s="102"/>
      <c r="O6" s="2"/>
      <c r="P6" s="2"/>
      <c r="Q6"/>
      <c r="R6"/>
      <c r="S6"/>
      <c r="T6"/>
    </row>
    <row r="7" spans="1:20" ht="20.25" customHeight="1" thickTop="1" x14ac:dyDescent="0.25">
      <c r="A7" s="81"/>
      <c r="B7" s="84" t="s">
        <v>32</v>
      </c>
      <c r="C7" s="84" t="s">
        <v>33</v>
      </c>
      <c r="D7" s="21" t="s">
        <v>17</v>
      </c>
      <c r="E7" s="37">
        <v>200</v>
      </c>
      <c r="F7" s="87">
        <f>(E9/12)+(E8/3)+E7</f>
        <v>200</v>
      </c>
      <c r="G7" s="103">
        <f>F7*G42/F42</f>
        <v>1043.4782608695652</v>
      </c>
      <c r="H7" s="106">
        <f>MROUND(G7,G42)</f>
        <v>1040</v>
      </c>
      <c r="I7" s="107"/>
      <c r="J7" s="113"/>
      <c r="K7"/>
      <c r="M7"/>
      <c r="N7" s="102"/>
      <c r="O7" s="2"/>
      <c r="P7" s="2"/>
      <c r="Q7"/>
      <c r="R7" s="2"/>
      <c r="S7" s="2"/>
      <c r="T7" s="2"/>
    </row>
    <row r="8" spans="1:20" ht="20.25" customHeight="1" x14ac:dyDescent="0.25">
      <c r="A8" s="81"/>
      <c r="B8" s="85"/>
      <c r="C8" s="85"/>
      <c r="D8" s="23" t="s">
        <v>15</v>
      </c>
      <c r="E8" s="38">
        <v>0</v>
      </c>
      <c r="F8" s="88"/>
      <c r="G8" s="104"/>
      <c r="H8" s="107"/>
      <c r="I8" s="107"/>
      <c r="J8" s="113"/>
      <c r="K8"/>
      <c r="M8"/>
      <c r="N8" s="102"/>
      <c r="O8" s="2"/>
      <c r="P8" s="2"/>
      <c r="Q8"/>
      <c r="R8" s="2"/>
      <c r="S8" s="2"/>
      <c r="T8" s="2"/>
    </row>
    <row r="9" spans="1:20" ht="20.25" customHeight="1" thickBot="1" x14ac:dyDescent="0.3">
      <c r="A9" s="82"/>
      <c r="B9" s="86"/>
      <c r="C9" s="86"/>
      <c r="D9" s="20" t="s">
        <v>16</v>
      </c>
      <c r="E9" s="39">
        <v>0</v>
      </c>
      <c r="F9" s="89"/>
      <c r="G9" s="105"/>
      <c r="H9" s="108"/>
      <c r="I9" s="111"/>
      <c r="J9" s="114"/>
      <c r="K9"/>
      <c r="M9"/>
      <c r="N9" s="102"/>
      <c r="O9" s="2"/>
      <c r="P9" s="2"/>
      <c r="Q9"/>
      <c r="R9" s="2"/>
      <c r="S9" s="2"/>
      <c r="T9" s="2"/>
    </row>
    <row r="10" spans="1:20" ht="20.25" customHeight="1" thickTop="1" x14ac:dyDescent="0.25">
      <c r="A10"/>
      <c r="B10" s="84" t="s">
        <v>22</v>
      </c>
      <c r="C10" s="84" t="s">
        <v>10</v>
      </c>
      <c r="D10" s="21" t="s">
        <v>17</v>
      </c>
      <c r="E10" s="37">
        <v>0</v>
      </c>
      <c r="F10" s="88">
        <f>(E12/9)+(E11/3)+E10</f>
        <v>0</v>
      </c>
      <c r="G10" s="110">
        <f>F10*G45/F45</f>
        <v>0</v>
      </c>
      <c r="H10" s="109">
        <f>MROUND(G10,G45)</f>
        <v>0</v>
      </c>
      <c r="I10"/>
      <c r="J10"/>
      <c r="K10"/>
      <c r="M10"/>
      <c r="N10"/>
      <c r="O10" s="2"/>
      <c r="P10" s="2"/>
      <c r="Q10"/>
      <c r="R10" s="2"/>
      <c r="S10" s="2"/>
      <c r="T10" s="2"/>
    </row>
    <row r="11" spans="1:20" ht="20.25" customHeight="1" x14ac:dyDescent="0.25">
      <c r="A11"/>
      <c r="B11" s="85"/>
      <c r="C11" s="85"/>
      <c r="D11" s="23" t="s">
        <v>15</v>
      </c>
      <c r="E11" s="38">
        <v>0</v>
      </c>
      <c r="F11" s="88"/>
      <c r="G11" s="104"/>
      <c r="H11" s="107"/>
      <c r="I11"/>
      <c r="J11"/>
      <c r="K11"/>
      <c r="M11"/>
      <c r="N11"/>
      <c r="O11" s="2"/>
      <c r="P11" s="2"/>
      <c r="Q11"/>
      <c r="R11" s="2"/>
      <c r="S11" s="2"/>
      <c r="T11" s="2"/>
    </row>
    <row r="12" spans="1:20" ht="16.5" customHeight="1" thickBot="1" x14ac:dyDescent="0.3">
      <c r="A12"/>
      <c r="B12" s="86"/>
      <c r="C12" s="86"/>
      <c r="D12" s="20" t="s">
        <v>16</v>
      </c>
      <c r="E12" s="39">
        <v>0</v>
      </c>
      <c r="F12" s="88"/>
      <c r="G12" s="104"/>
      <c r="H12" s="107"/>
      <c r="I12"/>
      <c r="J12"/>
      <c r="K12"/>
      <c r="M12"/>
      <c r="N12"/>
      <c r="O12" s="2"/>
      <c r="P12" s="2"/>
      <c r="Q12"/>
      <c r="R12" s="2"/>
      <c r="S12" s="2"/>
      <c r="T12" s="2"/>
    </row>
    <row r="13" spans="1:20" ht="29.25" customHeight="1" thickTop="1" thickBot="1" x14ac:dyDescent="0.3">
      <c r="A13"/>
      <c r="B13" s="50" t="s">
        <v>20</v>
      </c>
      <c r="C13" s="50" t="s">
        <v>9</v>
      </c>
      <c r="D13" s="55" t="s">
        <v>34</v>
      </c>
      <c r="E13" s="56">
        <v>0</v>
      </c>
      <c r="F13" s="57">
        <f>(E17*9)+(E16*3)+E13</f>
        <v>0</v>
      </c>
      <c r="G13" s="58">
        <f>10+(F13*G48/F48)</f>
        <v>10</v>
      </c>
      <c r="H13" s="59">
        <f>MROUND(G13,G48)</f>
        <v>0</v>
      </c>
      <c r="I13"/>
      <c r="J13"/>
      <c r="K13"/>
      <c r="M13"/>
      <c r="N13"/>
      <c r="O13" s="2"/>
      <c r="P13" s="2"/>
      <c r="Q13"/>
      <c r="R13"/>
      <c r="S13" s="2"/>
      <c r="T13" s="2"/>
    </row>
    <row r="14" spans="1:20" ht="29.25" customHeight="1" thickBot="1" x14ac:dyDescent="0.3">
      <c r="A14"/>
      <c r="B14" s="49" t="s">
        <v>21</v>
      </c>
      <c r="C14" s="49" t="s">
        <v>8</v>
      </c>
      <c r="D14" s="22" t="s">
        <v>34</v>
      </c>
      <c r="E14" s="40">
        <v>0</v>
      </c>
      <c r="F14" s="54">
        <f>(E19*9)+(E18*3)+E14</f>
        <v>0</v>
      </c>
      <c r="G14" s="53">
        <f>F14*G49/F49</f>
        <v>0</v>
      </c>
      <c r="H14" s="52">
        <f>MROUND(G14,G49)</f>
        <v>0</v>
      </c>
      <c r="I14"/>
      <c r="J14"/>
      <c r="K14"/>
      <c r="M14"/>
      <c r="N14"/>
      <c r="O14" s="2"/>
      <c r="P14" s="2"/>
      <c r="Q14"/>
      <c r="R14"/>
      <c r="S14" s="2"/>
      <c r="T14" s="2"/>
    </row>
    <row r="15" spans="1:20" ht="29.25" customHeight="1" thickTop="1" thickBot="1" x14ac:dyDescent="0.3">
      <c r="A15"/>
      <c r="B15" s="42" t="s">
        <v>23</v>
      </c>
      <c r="C15" s="43" t="s">
        <v>12</v>
      </c>
      <c r="D15" s="41" t="s">
        <v>34</v>
      </c>
      <c r="E15" s="44">
        <v>0</v>
      </c>
      <c r="F15" s="45">
        <f>E15</f>
        <v>0</v>
      </c>
      <c r="G15" s="46">
        <f>F15*G50/F50</f>
        <v>0</v>
      </c>
      <c r="H15" s="47">
        <f>MROUND(G15,G50)</f>
        <v>0</v>
      </c>
      <c r="I15"/>
      <c r="J15"/>
      <c r="K15"/>
      <c r="M15"/>
      <c r="N15"/>
      <c r="O15" s="2"/>
      <c r="P15" s="2"/>
      <c r="Q15"/>
      <c r="R15"/>
      <c r="S15" s="2"/>
      <c r="T15" s="2"/>
    </row>
    <row r="16" spans="1:20" ht="14.25" customHeight="1" thickTop="1" x14ac:dyDescent="0.25">
      <c r="A16"/>
      <c r="B16"/>
      <c r="C16"/>
      <c r="D16"/>
      <c r="E16"/>
      <c r="F16"/>
      <c r="G16"/>
      <c r="H16"/>
      <c r="I16"/>
      <c r="J16"/>
      <c r="K16"/>
      <c r="M16"/>
      <c r="N16"/>
      <c r="O16" s="2"/>
      <c r="P16" s="2"/>
      <c r="Q16"/>
      <c r="R16"/>
      <c r="S16" s="2"/>
      <c r="T16" s="2"/>
    </row>
    <row r="17" spans="1:20" ht="15.75" customHeight="1" x14ac:dyDescent="0.25">
      <c r="A17"/>
      <c r="B17"/>
      <c r="C17"/>
      <c r="D17"/>
      <c r="E17"/>
      <c r="F17"/>
      <c r="G17"/>
      <c r="H17"/>
      <c r="I17"/>
      <c r="J17"/>
      <c r="K17"/>
      <c r="M17"/>
      <c r="N17"/>
      <c r="O17" s="2"/>
      <c r="P17" s="2"/>
      <c r="Q17"/>
      <c r="R17"/>
      <c r="S17" s="2"/>
      <c r="T17" s="2"/>
    </row>
    <row r="18" spans="1:20" ht="15.75" customHeight="1" x14ac:dyDescent="0.25">
      <c r="B18"/>
      <c r="C18"/>
      <c r="D18"/>
      <c r="E18"/>
      <c r="F18"/>
      <c r="G18"/>
      <c r="H18"/>
      <c r="I18"/>
      <c r="J18"/>
      <c r="K18"/>
      <c r="M18"/>
      <c r="N18"/>
      <c r="O18" s="2"/>
      <c r="P18" s="2"/>
      <c r="Q18"/>
      <c r="R18"/>
      <c r="S18" s="2"/>
      <c r="T18" s="2"/>
    </row>
    <row r="19" spans="1:20" ht="16.5" customHeight="1" x14ac:dyDescent="0.25">
      <c r="B19"/>
      <c r="C19"/>
      <c r="D19"/>
      <c r="E19"/>
      <c r="F19"/>
      <c r="G19"/>
      <c r="H19"/>
      <c r="I19"/>
      <c r="J19"/>
      <c r="K19"/>
      <c r="M19"/>
      <c r="N19" s="102"/>
      <c r="O19" s="2"/>
      <c r="P19" s="2"/>
      <c r="Q19"/>
      <c r="R19"/>
      <c r="S19"/>
      <c r="T19"/>
    </row>
    <row r="20" spans="1:20" ht="16.5" customHeight="1" x14ac:dyDescent="0.25">
      <c r="B20"/>
      <c r="C20"/>
      <c r="D20"/>
      <c r="F20"/>
      <c r="G20"/>
      <c r="H20"/>
      <c r="I20"/>
      <c r="J20"/>
      <c r="K20"/>
      <c r="L20"/>
      <c r="M20"/>
      <c r="N20" s="102"/>
      <c r="O20" s="2"/>
      <c r="P20" s="2"/>
      <c r="Q20"/>
      <c r="R20"/>
      <c r="S20"/>
      <c r="T20"/>
    </row>
    <row r="21" spans="1:20" ht="16.5" customHeight="1" x14ac:dyDescent="0.25">
      <c r="B21"/>
      <c r="C21"/>
      <c r="D21"/>
      <c r="E21"/>
      <c r="F21"/>
      <c r="G21"/>
      <c r="H21"/>
      <c r="I21"/>
      <c r="J21"/>
      <c r="K21"/>
      <c r="L21"/>
      <c r="M21"/>
      <c r="N21" s="102"/>
      <c r="O21" s="2"/>
      <c r="P21" s="2"/>
      <c r="Q21"/>
      <c r="R21"/>
      <c r="S21"/>
      <c r="T21"/>
    </row>
    <row r="22" spans="1:20" ht="16.5" customHeight="1" x14ac:dyDescent="0.25">
      <c r="C22" s="6"/>
      <c r="D22"/>
      <c r="E22"/>
      <c r="F22" s="8"/>
      <c r="G22" s="15"/>
      <c r="I22"/>
      <c r="J22"/>
      <c r="K22"/>
      <c r="L22"/>
      <c r="M22"/>
      <c r="N22" s="102"/>
      <c r="O22" s="2"/>
      <c r="P22" s="2"/>
      <c r="Q22"/>
    </row>
    <row r="23" spans="1:20" ht="16.5" customHeight="1" x14ac:dyDescent="0.25">
      <c r="C23" s="6"/>
      <c r="D23" s="6"/>
      <c r="E23" s="6"/>
      <c r="F23" s="8"/>
      <c r="G23" s="15"/>
      <c r="H23" s="16"/>
      <c r="L23"/>
      <c r="M23"/>
      <c r="N23" s="102"/>
      <c r="O23" s="2"/>
      <c r="P23" s="2"/>
      <c r="Q23"/>
    </row>
    <row r="24" spans="1:20" ht="16.5" customHeight="1" x14ac:dyDescent="0.25">
      <c r="B24" s="6"/>
      <c r="C24" s="6"/>
      <c r="D24" s="6"/>
      <c r="E24" s="6"/>
      <c r="H24"/>
      <c r="L24"/>
      <c r="M24"/>
      <c r="N24" s="102"/>
      <c r="O24" s="2"/>
      <c r="P24" s="2"/>
      <c r="Q24"/>
    </row>
    <row r="25" spans="1:20" ht="16.5" customHeight="1" x14ac:dyDescent="0.25">
      <c r="B25" s="3"/>
      <c r="C25" s="3"/>
      <c r="D25" s="3"/>
      <c r="E25" s="3"/>
      <c r="F25" s="3"/>
      <c r="G25" s="7"/>
      <c r="L25"/>
      <c r="M25"/>
      <c r="N25"/>
      <c r="O25" s="2"/>
      <c r="P25" s="2"/>
      <c r="Q25"/>
    </row>
    <row r="26" spans="1:20" ht="15" customHeight="1" x14ac:dyDescent="0.25">
      <c r="B26" s="3"/>
      <c r="C26" s="3"/>
      <c r="D26" s="3"/>
      <c r="E26" s="3"/>
      <c r="F26" s="3"/>
      <c r="L26"/>
      <c r="M26"/>
      <c r="N26"/>
      <c r="O26" s="2"/>
      <c r="P26" s="2"/>
      <c r="Q26"/>
    </row>
    <row r="27" spans="1:20" ht="15.75" customHeight="1" x14ac:dyDescent="0.25">
      <c r="B27" s="3"/>
      <c r="C27" s="3"/>
      <c r="D27" s="3"/>
      <c r="E27" s="3"/>
      <c r="F27" s="3"/>
      <c r="L27"/>
      <c r="M27"/>
      <c r="N27"/>
      <c r="O27" s="2"/>
      <c r="P27" s="2"/>
      <c r="Q27"/>
    </row>
    <row r="28" spans="1:20" ht="15.75" customHeight="1" x14ac:dyDescent="0.25">
      <c r="B28" s="3"/>
      <c r="C28" s="3"/>
      <c r="D28" s="3"/>
      <c r="E28" s="3"/>
      <c r="F28" s="3"/>
      <c r="L28"/>
      <c r="M28"/>
      <c r="N28"/>
      <c r="O28" s="2"/>
      <c r="P28" s="2"/>
      <c r="Q28"/>
    </row>
    <row r="29" spans="1:20" ht="15" customHeight="1" x14ac:dyDescent="0.25">
      <c r="B29" s="3"/>
      <c r="C29" s="3"/>
      <c r="D29" s="3"/>
      <c r="E29" s="3"/>
      <c r="F29" s="3"/>
      <c r="L29"/>
      <c r="M29"/>
      <c r="N29"/>
      <c r="O29" s="2"/>
      <c r="P29" s="2"/>
      <c r="Q29"/>
    </row>
    <row r="30" spans="1:20" ht="15.75" customHeight="1" x14ac:dyDescent="0.25">
      <c r="B30" s="3"/>
      <c r="C30" s="3"/>
      <c r="D30" s="3"/>
      <c r="E30" s="3"/>
      <c r="F30" s="3"/>
      <c r="L30"/>
      <c r="M30"/>
      <c r="N30"/>
      <c r="O30" s="2"/>
      <c r="P30" s="2"/>
      <c r="Q30"/>
    </row>
    <row r="31" spans="1:20" ht="15" customHeight="1" x14ac:dyDescent="0.25">
      <c r="B31" s="3"/>
      <c r="C31" s="3"/>
      <c r="D31" s="3"/>
      <c r="E31" s="3"/>
      <c r="F31" s="3"/>
      <c r="I31"/>
      <c r="J31"/>
      <c r="K31"/>
      <c r="L31"/>
      <c r="M31"/>
      <c r="N31"/>
      <c r="O31"/>
      <c r="P31"/>
      <c r="Q31"/>
    </row>
    <row r="32" spans="1:20" x14ac:dyDescent="0.25">
      <c r="I32"/>
      <c r="J32"/>
      <c r="K32"/>
      <c r="L32"/>
      <c r="M32"/>
      <c r="N32"/>
      <c r="O32"/>
      <c r="P32"/>
      <c r="Q32"/>
    </row>
    <row r="33" spans="2:17" ht="30" customHeight="1" x14ac:dyDescent="0.25">
      <c r="I33"/>
      <c r="J33"/>
      <c r="K33"/>
      <c r="L33"/>
      <c r="M33"/>
      <c r="N33"/>
      <c r="O33"/>
      <c r="P33"/>
      <c r="Q33"/>
    </row>
    <row r="34" spans="2:17" x14ac:dyDescent="0.25">
      <c r="B34" s="4"/>
      <c r="C34" s="4"/>
      <c r="D34" s="17"/>
      <c r="E34" s="17"/>
      <c r="F34" s="4"/>
      <c r="G34" s="4"/>
      <c r="H34"/>
      <c r="I34"/>
      <c r="J34"/>
      <c r="K34"/>
      <c r="L34"/>
      <c r="M34"/>
      <c r="N34"/>
      <c r="O34"/>
      <c r="P34"/>
    </row>
    <row r="35" spans="2:17" s="19" customFormat="1" ht="39" customHeight="1" x14ac:dyDescent="0.25">
      <c r="B35" s="4"/>
      <c r="C35" s="4"/>
      <c r="D35" s="17"/>
      <c r="E35" s="17"/>
      <c r="F35" s="4"/>
      <c r="G35" s="4"/>
      <c r="H35"/>
      <c r="K35" s="18"/>
      <c r="L35" s="18"/>
      <c r="M35" s="18"/>
      <c r="N35" s="18"/>
      <c r="O35" s="18"/>
      <c r="P35" s="18"/>
    </row>
    <row r="36" spans="2:17" x14ac:dyDescent="0.25">
      <c r="B36" s="4"/>
      <c r="C36" s="83" t="s">
        <v>28</v>
      </c>
      <c r="D36" s="83"/>
      <c r="E36" s="83"/>
      <c r="F36" s="83"/>
      <c r="G36" s="83"/>
      <c r="H36"/>
      <c r="I36"/>
      <c r="J36"/>
      <c r="K36"/>
      <c r="L36"/>
      <c r="M36"/>
      <c r="N36"/>
      <c r="O36"/>
      <c r="P36"/>
    </row>
    <row r="37" spans="2:17" ht="19.5" x14ac:dyDescent="0.3">
      <c r="B37" s="92" t="s">
        <v>7</v>
      </c>
      <c r="C37" s="92"/>
      <c r="D37" s="92"/>
      <c r="E37" s="92"/>
      <c r="F37" s="92"/>
      <c r="G37" s="93"/>
      <c r="H37"/>
      <c r="I37"/>
      <c r="J37"/>
      <c r="K37"/>
      <c r="L37"/>
      <c r="M37"/>
      <c r="N37"/>
      <c r="O37"/>
      <c r="P37"/>
    </row>
    <row r="38" spans="2:17" ht="35.25" thickBot="1" x14ac:dyDescent="0.3">
      <c r="B38" s="30" t="s">
        <v>13</v>
      </c>
      <c r="C38" s="30" t="s">
        <v>0</v>
      </c>
      <c r="D38" s="26" t="s">
        <v>18</v>
      </c>
      <c r="E38" s="26" t="s">
        <v>26</v>
      </c>
      <c r="F38" s="26" t="s">
        <v>27</v>
      </c>
      <c r="G38" s="26" t="s">
        <v>25</v>
      </c>
      <c r="H38" s="18"/>
      <c r="I38"/>
      <c r="J38"/>
      <c r="K38"/>
      <c r="L38"/>
      <c r="M38"/>
      <c r="N38"/>
      <c r="O38"/>
      <c r="P38"/>
    </row>
    <row r="39" spans="2:17" ht="15.75" thickTop="1" x14ac:dyDescent="0.25">
      <c r="B39" s="94" t="s">
        <v>19</v>
      </c>
      <c r="C39" s="94" t="s">
        <v>11</v>
      </c>
      <c r="D39" s="27" t="s">
        <v>17</v>
      </c>
      <c r="E39" s="32">
        <v>1</v>
      </c>
      <c r="F39" s="97">
        <f>E39+(E40/4)+(E41/20)</f>
        <v>2.25</v>
      </c>
      <c r="G39" s="101">
        <v>10</v>
      </c>
      <c r="H39"/>
      <c r="I39"/>
      <c r="J39"/>
      <c r="K39"/>
      <c r="L39"/>
      <c r="M39"/>
      <c r="N39"/>
      <c r="O39"/>
      <c r="P39"/>
    </row>
    <row r="40" spans="2:17" x14ac:dyDescent="0.25">
      <c r="B40" s="95"/>
      <c r="C40" s="95"/>
      <c r="D40" s="28" t="s">
        <v>15</v>
      </c>
      <c r="E40" s="33">
        <v>5</v>
      </c>
      <c r="F40" s="98"/>
      <c r="G40" s="90"/>
      <c r="H40"/>
      <c r="I40"/>
      <c r="J40"/>
      <c r="K40"/>
      <c r="L40"/>
      <c r="M40"/>
      <c r="N40"/>
      <c r="O40"/>
      <c r="P40"/>
    </row>
    <row r="41" spans="2:17" ht="15.75" thickBot="1" x14ac:dyDescent="0.3">
      <c r="B41" s="96"/>
      <c r="C41" s="96"/>
      <c r="D41" s="25" t="s">
        <v>16</v>
      </c>
      <c r="E41" s="34">
        <v>0</v>
      </c>
      <c r="F41" s="91"/>
      <c r="G41" s="91"/>
      <c r="H41"/>
      <c r="I41"/>
      <c r="J41"/>
      <c r="K41"/>
      <c r="L41"/>
      <c r="M41"/>
      <c r="N41"/>
      <c r="O41"/>
      <c r="P41"/>
    </row>
    <row r="42" spans="2:17" ht="15.75" thickTop="1" x14ac:dyDescent="0.25">
      <c r="B42" s="94" t="s">
        <v>32</v>
      </c>
      <c r="C42" s="94" t="s">
        <v>33</v>
      </c>
      <c r="D42" s="27" t="s">
        <v>17</v>
      </c>
      <c r="E42" s="32">
        <v>1</v>
      </c>
      <c r="F42" s="97">
        <f>E42+(E43/3)+(E44/12)</f>
        <v>1.9166666666666665</v>
      </c>
      <c r="G42" s="101">
        <v>10</v>
      </c>
      <c r="H42"/>
      <c r="I42"/>
      <c r="J42"/>
      <c r="K42"/>
      <c r="L42"/>
      <c r="M42"/>
      <c r="N42"/>
      <c r="O42"/>
      <c r="P42"/>
    </row>
    <row r="43" spans="2:17" x14ac:dyDescent="0.25">
      <c r="B43" s="95"/>
      <c r="C43" s="95"/>
      <c r="D43" s="28" t="s">
        <v>15</v>
      </c>
      <c r="E43" s="33">
        <v>2</v>
      </c>
      <c r="F43" s="98"/>
      <c r="G43" s="90"/>
      <c r="H43"/>
      <c r="I43"/>
      <c r="J43"/>
      <c r="K43"/>
      <c r="L43"/>
      <c r="M43"/>
      <c r="N43"/>
      <c r="O43"/>
      <c r="P43"/>
    </row>
    <row r="44" spans="2:17" ht="15.75" thickBot="1" x14ac:dyDescent="0.3">
      <c r="B44" s="96"/>
      <c r="C44" s="96"/>
      <c r="D44" s="25" t="s">
        <v>16</v>
      </c>
      <c r="E44" s="34">
        <v>3</v>
      </c>
      <c r="F44" s="100"/>
      <c r="G44" s="91"/>
      <c r="H44"/>
      <c r="I44"/>
      <c r="J44"/>
      <c r="K44"/>
      <c r="L44"/>
      <c r="M44"/>
      <c r="N44"/>
      <c r="O44"/>
      <c r="P44"/>
    </row>
    <row r="45" spans="2:17" x14ac:dyDescent="0.25">
      <c r="B45" s="95" t="s">
        <v>22</v>
      </c>
      <c r="C45" s="95" t="s">
        <v>10</v>
      </c>
      <c r="D45" s="29" t="s">
        <v>17</v>
      </c>
      <c r="E45" s="35"/>
      <c r="F45" s="99">
        <f>E45+(E46/3)+(E47/9)</f>
        <v>0.44444444444444442</v>
      </c>
      <c r="G45" s="90">
        <v>10</v>
      </c>
      <c r="H45"/>
      <c r="I45"/>
      <c r="J45"/>
      <c r="K45"/>
      <c r="L45"/>
      <c r="M45"/>
      <c r="N45"/>
      <c r="O45"/>
      <c r="P45"/>
    </row>
    <row r="46" spans="2:17" x14ac:dyDescent="0.25">
      <c r="B46" s="95"/>
      <c r="C46" s="95"/>
      <c r="D46" s="28" t="s">
        <v>15</v>
      </c>
      <c r="E46" s="33">
        <v>1</v>
      </c>
      <c r="F46" s="98"/>
      <c r="G46" s="90"/>
      <c r="H46"/>
      <c r="I46"/>
      <c r="J46"/>
      <c r="K46"/>
      <c r="L46"/>
      <c r="M46"/>
      <c r="N46"/>
      <c r="O46"/>
      <c r="P46"/>
    </row>
    <row r="47" spans="2:17" ht="15.75" thickBot="1" x14ac:dyDescent="0.3">
      <c r="B47" s="96"/>
      <c r="C47" s="96"/>
      <c r="D47" s="25" t="s">
        <v>16</v>
      </c>
      <c r="E47" s="34">
        <v>1</v>
      </c>
      <c r="F47" s="100"/>
      <c r="G47" s="91"/>
      <c r="H47"/>
      <c r="I47"/>
      <c r="J47"/>
      <c r="K47"/>
      <c r="L47"/>
      <c r="M47"/>
      <c r="N47"/>
      <c r="O47"/>
      <c r="P47"/>
    </row>
    <row r="48" spans="2:17" ht="15.75" thickBot="1" x14ac:dyDescent="0.3">
      <c r="B48" s="70" t="s">
        <v>20</v>
      </c>
      <c r="C48" s="65" t="s">
        <v>9</v>
      </c>
      <c r="D48" s="66" t="s">
        <v>17</v>
      </c>
      <c r="E48" s="67">
        <v>5</v>
      </c>
      <c r="F48" s="64">
        <f>E48</f>
        <v>5</v>
      </c>
      <c r="G48" s="68">
        <v>30</v>
      </c>
      <c r="H48"/>
      <c r="I48"/>
      <c r="J48"/>
      <c r="K48"/>
      <c r="L48"/>
      <c r="M48"/>
      <c r="N48"/>
      <c r="O48"/>
      <c r="P48"/>
    </row>
    <row r="49" spans="1:16" ht="15.75" thickBot="1" x14ac:dyDescent="0.3">
      <c r="B49" s="71" t="s">
        <v>21</v>
      </c>
      <c r="C49" s="60" t="s">
        <v>8</v>
      </c>
      <c r="D49" s="62" t="s">
        <v>17</v>
      </c>
      <c r="E49" s="63">
        <v>2</v>
      </c>
      <c r="F49" s="61">
        <f>E49</f>
        <v>2</v>
      </c>
      <c r="G49" s="24">
        <v>30</v>
      </c>
      <c r="H49"/>
      <c r="I49"/>
      <c r="J49"/>
      <c r="K49"/>
      <c r="L49"/>
      <c r="M49"/>
      <c r="N49"/>
      <c r="O49"/>
      <c r="P49"/>
    </row>
    <row r="50" spans="1:16" ht="15.75" thickBot="1" x14ac:dyDescent="0.3">
      <c r="B50" s="69" t="s">
        <v>23</v>
      </c>
      <c r="C50" s="51" t="s">
        <v>12</v>
      </c>
      <c r="D50" s="31"/>
      <c r="E50" s="36">
        <v>24000</v>
      </c>
      <c r="F50" s="24">
        <v>24000</v>
      </c>
      <c r="G50" s="24">
        <v>10</v>
      </c>
      <c r="H50"/>
      <c r="I50"/>
      <c r="J50"/>
      <c r="K50"/>
      <c r="L50"/>
      <c r="M50"/>
      <c r="N50"/>
      <c r="O50"/>
    </row>
    <row r="51" spans="1:16" x14ac:dyDescent="0.25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</row>
    <row r="52" spans="1:16" x14ac:dyDescent="0.25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</row>
    <row r="53" spans="1:16" x14ac:dyDescent="0.25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</row>
    <row r="54" spans="1:16" x14ac:dyDescent="0.25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</row>
    <row r="55" spans="1:16" x14ac:dyDescent="0.25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</row>
    <row r="56" spans="1:16" x14ac:dyDescent="0.25">
      <c r="D56"/>
      <c r="E56"/>
      <c r="F56"/>
      <c r="G56"/>
      <c r="H56"/>
      <c r="I56"/>
      <c r="J56"/>
      <c r="K56"/>
      <c r="L56"/>
      <c r="M56"/>
      <c r="N56"/>
      <c r="O56"/>
    </row>
    <row r="57" spans="1:16" x14ac:dyDescent="0.25">
      <c r="C57"/>
      <c r="D57"/>
      <c r="E57"/>
      <c r="F57"/>
      <c r="G57"/>
      <c r="H57"/>
    </row>
    <row r="58" spans="1:16" x14ac:dyDescent="0.25">
      <c r="C58"/>
      <c r="D58"/>
      <c r="G58" s="4"/>
      <c r="H58"/>
    </row>
    <row r="59" spans="1:16" x14ac:dyDescent="0.25">
      <c r="C59"/>
      <c r="D59"/>
      <c r="E59" s="17"/>
      <c r="F59" s="4"/>
      <c r="G59" s="4"/>
      <c r="H59"/>
    </row>
    <row r="60" spans="1:16" x14ac:dyDescent="0.25">
      <c r="C60"/>
      <c r="D60"/>
    </row>
    <row r="61" spans="1:16" x14ac:dyDescent="0.25">
      <c r="C61"/>
      <c r="D61"/>
    </row>
    <row r="62" spans="1:16" x14ac:dyDescent="0.25">
      <c r="C62"/>
      <c r="D62"/>
    </row>
    <row r="67" spans="2:5" x14ac:dyDescent="0.25">
      <c r="B67" s="48" t="s">
        <v>13</v>
      </c>
      <c r="C67" s="48" t="s">
        <v>29</v>
      </c>
      <c r="D67" s="48" t="s">
        <v>36</v>
      </c>
      <c r="E67" s="48" t="s">
        <v>35</v>
      </c>
    </row>
    <row r="68" spans="2:5" x14ac:dyDescent="0.25">
      <c r="B68" t="s">
        <v>19</v>
      </c>
      <c r="C68"/>
      <c r="D68" s="72">
        <v>10</v>
      </c>
      <c r="E68" t="s">
        <v>11</v>
      </c>
    </row>
    <row r="69" spans="2:5" x14ac:dyDescent="0.25">
      <c r="B69" t="s">
        <v>32</v>
      </c>
      <c r="C69"/>
      <c r="D69" s="72">
        <v>10</v>
      </c>
      <c r="E69" t="s">
        <v>33</v>
      </c>
    </row>
    <row r="70" spans="2:5" x14ac:dyDescent="0.25">
      <c r="B70" t="s">
        <v>22</v>
      </c>
      <c r="C70"/>
      <c r="D70" s="72">
        <v>10</v>
      </c>
      <c r="E70" t="s">
        <v>10</v>
      </c>
    </row>
    <row r="71" spans="2:5" x14ac:dyDescent="0.25">
      <c r="B71" t="s">
        <v>20</v>
      </c>
      <c r="C71"/>
      <c r="D71" s="73">
        <v>30</v>
      </c>
      <c r="E71" t="s">
        <v>9</v>
      </c>
    </row>
    <row r="72" spans="2:5" x14ac:dyDescent="0.25">
      <c r="B72" t="s">
        <v>21</v>
      </c>
      <c r="C72"/>
      <c r="D72" s="73">
        <v>30</v>
      </c>
      <c r="E72" t="s">
        <v>8</v>
      </c>
    </row>
    <row r="73" spans="2:5" x14ac:dyDescent="0.25">
      <c r="B73" t="s">
        <v>23</v>
      </c>
      <c r="C73"/>
      <c r="D73" s="73">
        <v>10</v>
      </c>
      <c r="E73" t="s">
        <v>12</v>
      </c>
    </row>
    <row r="74" spans="2:5" x14ac:dyDescent="0.25">
      <c r="B74" t="s">
        <v>31</v>
      </c>
      <c r="C74"/>
      <c r="E74" t="s">
        <v>30</v>
      </c>
    </row>
  </sheetData>
  <sheetProtection sheet="1" objects="1" scenarios="1"/>
  <mergeCells count="34">
    <mergeCell ref="N19:N24"/>
    <mergeCell ref="G39:G41"/>
    <mergeCell ref="G4:G6"/>
    <mergeCell ref="N4:N9"/>
    <mergeCell ref="G7:G9"/>
    <mergeCell ref="H7:H9"/>
    <mergeCell ref="H10:H12"/>
    <mergeCell ref="G10:G12"/>
    <mergeCell ref="I4:I9"/>
    <mergeCell ref="J4:J9"/>
    <mergeCell ref="H4:H6"/>
    <mergeCell ref="G45:G47"/>
    <mergeCell ref="B37:G37"/>
    <mergeCell ref="B39:B41"/>
    <mergeCell ref="B45:B47"/>
    <mergeCell ref="F39:F41"/>
    <mergeCell ref="F45:F47"/>
    <mergeCell ref="C39:C41"/>
    <mergeCell ref="C45:C47"/>
    <mergeCell ref="B42:B44"/>
    <mergeCell ref="C42:C44"/>
    <mergeCell ref="F42:F44"/>
    <mergeCell ref="G42:G44"/>
    <mergeCell ref="A4:A9"/>
    <mergeCell ref="C36:G36"/>
    <mergeCell ref="C4:C6"/>
    <mergeCell ref="B4:B6"/>
    <mergeCell ref="C10:C12"/>
    <mergeCell ref="B10:B12"/>
    <mergeCell ref="F4:F6"/>
    <mergeCell ref="F10:F12"/>
    <mergeCell ref="B7:B9"/>
    <mergeCell ref="C7:C9"/>
    <mergeCell ref="F7:F9"/>
  </mergeCells>
  <pageMargins left="0.7" right="0.7" top="0.75" bottom="0.75" header="0.3" footer="0.3"/>
  <pageSetup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reset_req_material_input">
                <anchor moveWithCells="1" sizeWithCells="1">
                  <from>
                    <xdr:col>2</xdr:col>
                    <xdr:colOff>95250</xdr:colOff>
                    <xdr:row>23</xdr:row>
                    <xdr:rowOff>57150</xdr:rowOff>
                  </from>
                  <to>
                    <xdr:col>5</xdr:col>
                    <xdr:colOff>809625</xdr:colOff>
                    <xdr:row>26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plaing_module">
                <anchor moveWithCells="1" sizeWithCells="1">
                  <from>
                    <xdr:col>6</xdr:col>
                    <xdr:colOff>133350</xdr:colOff>
                    <xdr:row>20</xdr:row>
                    <xdr:rowOff>19050</xdr:rowOff>
                  </from>
                  <to>
                    <xdr:col>9</xdr:col>
                    <xdr:colOff>133350</xdr:colOff>
                    <xdr:row>23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6C089C-E9EB-484B-9213-CF1E546195AD}">
  <sheetPr codeName="Sheet1"/>
  <dimension ref="A1:J45"/>
  <sheetViews>
    <sheetView tabSelected="1" workbookViewId="0"/>
  </sheetViews>
  <sheetFormatPr defaultColWidth="10.7109375" defaultRowHeight="15" x14ac:dyDescent="0.25"/>
  <sheetData>
    <row r="1" spans="1:10" s="17" customFormat="1" ht="30" x14ac:dyDescent="0.25">
      <c r="B1" s="17" t="s">
        <v>13</v>
      </c>
      <c r="C1" s="17" t="s">
        <v>29</v>
      </c>
      <c r="D1" s="17" t="s">
        <v>36</v>
      </c>
      <c r="E1" s="17" t="s">
        <v>35</v>
      </c>
    </row>
    <row r="2" spans="1:10" x14ac:dyDescent="0.25">
      <c r="B2" t="s">
        <v>19</v>
      </c>
      <c r="C2">
        <v>40</v>
      </c>
      <c r="D2">
        <v>10</v>
      </c>
      <c r="E2" t="s">
        <v>11</v>
      </c>
    </row>
    <row r="3" spans="1:10" x14ac:dyDescent="0.25">
      <c r="B3" t="s">
        <v>32</v>
      </c>
      <c r="C3">
        <v>1040</v>
      </c>
      <c r="D3">
        <v>10</v>
      </c>
      <c r="E3" t="s">
        <v>33</v>
      </c>
    </row>
    <row r="4" spans="1:10" x14ac:dyDescent="0.25">
      <c r="B4" t="s">
        <v>22</v>
      </c>
      <c r="C4">
        <v>0</v>
      </c>
      <c r="D4">
        <v>10</v>
      </c>
      <c r="E4" t="s">
        <v>10</v>
      </c>
    </row>
    <row r="5" spans="1:10" x14ac:dyDescent="0.25">
      <c r="B5" t="s">
        <v>20</v>
      </c>
      <c r="C5">
        <v>0</v>
      </c>
      <c r="D5">
        <v>30</v>
      </c>
      <c r="E5" t="s">
        <v>9</v>
      </c>
    </row>
    <row r="6" spans="1:10" x14ac:dyDescent="0.25">
      <c r="B6" t="s">
        <v>21</v>
      </c>
      <c r="C6">
        <v>0</v>
      </c>
      <c r="D6">
        <v>30</v>
      </c>
      <c r="E6" t="s">
        <v>8</v>
      </c>
    </row>
    <row r="7" spans="1:10" x14ac:dyDescent="0.25">
      <c r="B7" t="s">
        <v>23</v>
      </c>
      <c r="C7">
        <v>0</v>
      </c>
      <c r="D7">
        <v>10</v>
      </c>
      <c r="E7" t="s">
        <v>12</v>
      </c>
    </row>
    <row r="8" spans="1:10" x14ac:dyDescent="0.25">
      <c r="B8" t="s">
        <v>31</v>
      </c>
      <c r="C8">
        <v>240</v>
      </c>
      <c r="E8" t="s">
        <v>30</v>
      </c>
    </row>
    <row r="11" spans="1:10" ht="15.75" thickBot="1" x14ac:dyDescent="0.3"/>
    <row r="12" spans="1:10" s="48" customFormat="1" ht="15.75" thickBot="1" x14ac:dyDescent="0.3">
      <c r="A12" s="118" t="s">
        <v>37</v>
      </c>
      <c r="B12" s="119"/>
      <c r="C12" s="118" t="s">
        <v>38</v>
      </c>
      <c r="D12" s="119"/>
      <c r="E12" s="118" t="s">
        <v>39</v>
      </c>
      <c r="F12" s="119"/>
      <c r="G12" s="118" t="s">
        <v>41</v>
      </c>
      <c r="H12" s="119"/>
      <c r="I12" s="118" t="s">
        <v>51</v>
      </c>
      <c r="J12" s="119"/>
    </row>
    <row r="13" spans="1:10" s="48" customFormat="1" x14ac:dyDescent="0.25">
      <c r="A13" s="120">
        <v>45368</v>
      </c>
      <c r="B13" s="121" t="s">
        <v>40</v>
      </c>
      <c r="C13" s="120">
        <v>45369</v>
      </c>
      <c r="D13" s="121" t="s">
        <v>42</v>
      </c>
      <c r="E13" s="120">
        <v>45370</v>
      </c>
      <c r="F13" s="121" t="s">
        <v>43</v>
      </c>
      <c r="G13" s="120">
        <v>45371</v>
      </c>
      <c r="H13" s="121" t="s">
        <v>48</v>
      </c>
      <c r="I13" s="120">
        <v>45372</v>
      </c>
      <c r="J13" s="121" t="s">
        <v>50</v>
      </c>
    </row>
    <row r="14" spans="1:10" x14ac:dyDescent="0.25">
      <c r="A14" s="116" t="s">
        <v>19</v>
      </c>
      <c r="B14" s="122">
        <f t="shared" ref="B14:B19" si="0">COUNTIF(A$22:A$62,A14)</f>
        <v>4</v>
      </c>
      <c r="C14" s="116" t="s">
        <v>19</v>
      </c>
      <c r="D14" s="122">
        <f t="shared" ref="D14:D19" si="1">COUNTIF(C$22:C$62,C14)</f>
        <v>0</v>
      </c>
      <c r="E14" s="116" t="s">
        <v>19</v>
      </c>
      <c r="F14" s="122">
        <f t="shared" ref="F14:F19" si="2">COUNTIF(E$22:E$62,E14)</f>
        <v>0</v>
      </c>
      <c r="G14" s="116" t="s">
        <v>19</v>
      </c>
      <c r="H14" s="122">
        <f t="shared" ref="H14:H19" si="3">COUNTIF(G$22:G$62,G14)</f>
        <v>0</v>
      </c>
      <c r="I14" s="116" t="s">
        <v>19</v>
      </c>
      <c r="J14" s="122">
        <f t="shared" ref="J14:J19" si="4">COUNTIF(I$22:I$62,I14)</f>
        <v>0</v>
      </c>
    </row>
    <row r="15" spans="1:10" x14ac:dyDescent="0.25">
      <c r="A15" s="116" t="s">
        <v>32</v>
      </c>
      <c r="B15" s="122">
        <f t="shared" si="0"/>
        <v>20</v>
      </c>
      <c r="C15" s="116" t="s">
        <v>32</v>
      </c>
      <c r="D15" s="122">
        <f t="shared" si="1"/>
        <v>24</v>
      </c>
      <c r="E15" s="116" t="s">
        <v>32</v>
      </c>
      <c r="F15" s="122">
        <f t="shared" si="2"/>
        <v>24</v>
      </c>
      <c r="G15" s="116" t="s">
        <v>32</v>
      </c>
      <c r="H15" s="122">
        <f t="shared" si="3"/>
        <v>24</v>
      </c>
      <c r="I15" s="116" t="s">
        <v>32</v>
      </c>
      <c r="J15" s="122">
        <f t="shared" si="4"/>
        <v>12</v>
      </c>
    </row>
    <row r="16" spans="1:10" x14ac:dyDescent="0.25">
      <c r="A16" s="116" t="s">
        <v>22</v>
      </c>
      <c r="B16" s="122">
        <f t="shared" si="0"/>
        <v>0</v>
      </c>
      <c r="C16" s="116" t="s">
        <v>22</v>
      </c>
      <c r="D16" s="122">
        <f t="shared" si="1"/>
        <v>0</v>
      </c>
      <c r="E16" s="116" t="s">
        <v>22</v>
      </c>
      <c r="F16" s="122">
        <f t="shared" si="2"/>
        <v>0</v>
      </c>
      <c r="G16" s="116" t="s">
        <v>22</v>
      </c>
      <c r="H16" s="122">
        <f t="shared" si="3"/>
        <v>0</v>
      </c>
      <c r="I16" s="116" t="s">
        <v>22</v>
      </c>
      <c r="J16" s="122">
        <f t="shared" si="4"/>
        <v>1</v>
      </c>
    </row>
    <row r="17" spans="1:10" x14ac:dyDescent="0.25">
      <c r="A17" s="116" t="s">
        <v>20</v>
      </c>
      <c r="B17" s="122">
        <f t="shared" si="0"/>
        <v>0</v>
      </c>
      <c r="C17" s="116" t="s">
        <v>20</v>
      </c>
      <c r="D17" s="122">
        <f t="shared" si="1"/>
        <v>0</v>
      </c>
      <c r="E17" s="116" t="s">
        <v>20</v>
      </c>
      <c r="F17" s="122">
        <f t="shared" si="2"/>
        <v>0</v>
      </c>
      <c r="G17" s="116" t="s">
        <v>20</v>
      </c>
      <c r="H17" s="122">
        <f t="shared" si="3"/>
        <v>0</v>
      </c>
      <c r="I17" s="116" t="s">
        <v>20</v>
      </c>
      <c r="J17" s="122">
        <f t="shared" si="4"/>
        <v>1</v>
      </c>
    </row>
    <row r="18" spans="1:10" x14ac:dyDescent="0.25">
      <c r="A18" s="116" t="s">
        <v>21</v>
      </c>
      <c r="B18" s="122">
        <f t="shared" si="0"/>
        <v>0</v>
      </c>
      <c r="C18" s="116" t="s">
        <v>21</v>
      </c>
      <c r="D18" s="122">
        <f t="shared" si="1"/>
        <v>0</v>
      </c>
      <c r="E18" s="116" t="s">
        <v>21</v>
      </c>
      <c r="F18" s="122">
        <f t="shared" si="2"/>
        <v>0</v>
      </c>
      <c r="G18" s="116" t="s">
        <v>21</v>
      </c>
      <c r="H18" s="122">
        <f t="shared" si="3"/>
        <v>0</v>
      </c>
      <c r="I18" s="116" t="s">
        <v>21</v>
      </c>
      <c r="J18" s="122">
        <f t="shared" si="4"/>
        <v>0</v>
      </c>
    </row>
    <row r="19" spans="1:10" ht="15.75" thickBot="1" x14ac:dyDescent="0.3">
      <c r="A19" s="116" t="s">
        <v>23</v>
      </c>
      <c r="B19" s="122">
        <f t="shared" si="0"/>
        <v>0</v>
      </c>
      <c r="C19" s="116" t="s">
        <v>23</v>
      </c>
      <c r="D19" s="122">
        <f t="shared" si="1"/>
        <v>0</v>
      </c>
      <c r="E19" s="116" t="s">
        <v>23</v>
      </c>
      <c r="F19" s="122">
        <f t="shared" si="2"/>
        <v>0</v>
      </c>
      <c r="G19" s="116" t="s">
        <v>23</v>
      </c>
      <c r="H19" s="122">
        <f t="shared" si="3"/>
        <v>0</v>
      </c>
      <c r="I19" s="116" t="s">
        <v>23</v>
      </c>
      <c r="J19" s="122">
        <f t="shared" si="4"/>
        <v>1</v>
      </c>
    </row>
    <row r="20" spans="1:10" s="48" customFormat="1" ht="15.75" thickBot="1" x14ac:dyDescent="0.3">
      <c r="A20" s="123" t="s">
        <v>45</v>
      </c>
      <c r="B20" s="124"/>
      <c r="C20" s="123" t="s">
        <v>46</v>
      </c>
      <c r="D20" s="124"/>
      <c r="E20" s="123" t="s">
        <v>47</v>
      </c>
      <c r="F20" s="124"/>
      <c r="G20" s="123" t="s">
        <v>49</v>
      </c>
      <c r="H20" s="124"/>
      <c r="I20" s="123" t="s">
        <v>52</v>
      </c>
      <c r="J20" s="124"/>
    </row>
    <row r="21" spans="1:10" s="48" customFormat="1" x14ac:dyDescent="0.25">
      <c r="A21" s="115" t="s">
        <v>44</v>
      </c>
      <c r="B21" s="122">
        <v>0</v>
      </c>
      <c r="C21" s="115" t="s">
        <v>44</v>
      </c>
      <c r="D21" s="122">
        <v>0</v>
      </c>
      <c r="E21" s="115" t="s">
        <v>44</v>
      </c>
      <c r="F21" s="122">
        <v>0</v>
      </c>
      <c r="G21" s="115" t="s">
        <v>44</v>
      </c>
      <c r="H21" s="122">
        <v>0</v>
      </c>
      <c r="I21" s="115" t="s">
        <v>44</v>
      </c>
      <c r="J21" s="122">
        <v>70</v>
      </c>
    </row>
    <row r="22" spans="1:10" x14ac:dyDescent="0.25">
      <c r="A22" s="116" t="s">
        <v>19</v>
      </c>
      <c r="B22" s="125">
        <v>10</v>
      </c>
      <c r="C22" s="116" t="s">
        <v>32</v>
      </c>
      <c r="D22" s="125">
        <v>10</v>
      </c>
      <c r="E22" s="116" t="s">
        <v>32</v>
      </c>
      <c r="F22" s="125">
        <v>10</v>
      </c>
      <c r="G22" s="116" t="s">
        <v>32</v>
      </c>
      <c r="H22" s="125">
        <v>10</v>
      </c>
      <c r="I22" s="116" t="s">
        <v>32</v>
      </c>
      <c r="J22" s="125">
        <v>10</v>
      </c>
    </row>
    <row r="23" spans="1:10" x14ac:dyDescent="0.25">
      <c r="A23" s="116" t="s">
        <v>19</v>
      </c>
      <c r="B23" s="125">
        <v>10</v>
      </c>
      <c r="C23" s="116" t="s">
        <v>32</v>
      </c>
      <c r="D23" s="125">
        <v>10</v>
      </c>
      <c r="E23" s="116" t="s">
        <v>32</v>
      </c>
      <c r="F23" s="125">
        <v>10</v>
      </c>
      <c r="G23" s="116" t="s">
        <v>32</v>
      </c>
      <c r="H23" s="125">
        <v>10</v>
      </c>
      <c r="I23" s="116" t="s">
        <v>32</v>
      </c>
      <c r="J23" s="125">
        <v>10</v>
      </c>
    </row>
    <row r="24" spans="1:10" x14ac:dyDescent="0.25">
      <c r="A24" s="116" t="s">
        <v>19</v>
      </c>
      <c r="B24" s="125">
        <v>10</v>
      </c>
      <c r="C24" s="116" t="s">
        <v>32</v>
      </c>
      <c r="D24" s="125">
        <v>10</v>
      </c>
      <c r="E24" s="116" t="s">
        <v>32</v>
      </c>
      <c r="F24" s="125">
        <v>10</v>
      </c>
      <c r="G24" s="116" t="s">
        <v>32</v>
      </c>
      <c r="H24" s="125">
        <v>10</v>
      </c>
      <c r="I24" s="116" t="s">
        <v>32</v>
      </c>
      <c r="J24" s="125">
        <v>10</v>
      </c>
    </row>
    <row r="25" spans="1:10" x14ac:dyDescent="0.25">
      <c r="A25" s="116" t="s">
        <v>19</v>
      </c>
      <c r="B25" s="125">
        <v>10</v>
      </c>
      <c r="C25" s="116" t="s">
        <v>32</v>
      </c>
      <c r="D25" s="125">
        <v>10</v>
      </c>
      <c r="E25" s="116" t="s">
        <v>32</v>
      </c>
      <c r="F25" s="125">
        <v>10</v>
      </c>
      <c r="G25" s="116" t="s">
        <v>32</v>
      </c>
      <c r="H25" s="125">
        <v>10</v>
      </c>
      <c r="I25" s="116" t="s">
        <v>32</v>
      </c>
      <c r="J25" s="125">
        <v>10</v>
      </c>
    </row>
    <row r="26" spans="1:10" x14ac:dyDescent="0.25">
      <c r="A26" s="116" t="s">
        <v>32</v>
      </c>
      <c r="B26" s="125">
        <v>10</v>
      </c>
      <c r="C26" s="116" t="s">
        <v>32</v>
      </c>
      <c r="D26" s="125">
        <v>10</v>
      </c>
      <c r="E26" s="116" t="s">
        <v>32</v>
      </c>
      <c r="F26" s="125">
        <v>10</v>
      </c>
      <c r="G26" s="116" t="s">
        <v>32</v>
      </c>
      <c r="H26" s="125">
        <v>10</v>
      </c>
      <c r="I26" s="116" t="s">
        <v>32</v>
      </c>
      <c r="J26" s="125">
        <v>10</v>
      </c>
    </row>
    <row r="27" spans="1:10" x14ac:dyDescent="0.25">
      <c r="A27" s="116" t="s">
        <v>32</v>
      </c>
      <c r="B27" s="125">
        <v>10</v>
      </c>
      <c r="C27" s="116" t="s">
        <v>32</v>
      </c>
      <c r="D27" s="125">
        <v>10</v>
      </c>
      <c r="E27" s="116" t="s">
        <v>32</v>
      </c>
      <c r="F27" s="125">
        <v>10</v>
      </c>
      <c r="G27" s="116" t="s">
        <v>32</v>
      </c>
      <c r="H27" s="125">
        <v>10</v>
      </c>
      <c r="I27" s="116" t="s">
        <v>32</v>
      </c>
      <c r="J27" s="125">
        <v>10</v>
      </c>
    </row>
    <row r="28" spans="1:10" x14ac:dyDescent="0.25">
      <c r="A28" s="116" t="s">
        <v>32</v>
      </c>
      <c r="B28" s="125">
        <v>10</v>
      </c>
      <c r="C28" s="116" t="s">
        <v>32</v>
      </c>
      <c r="D28" s="125">
        <v>10</v>
      </c>
      <c r="E28" s="116" t="s">
        <v>32</v>
      </c>
      <c r="F28" s="125">
        <v>10</v>
      </c>
      <c r="G28" s="116" t="s">
        <v>32</v>
      </c>
      <c r="H28" s="125">
        <v>10</v>
      </c>
      <c r="I28" s="116" t="s">
        <v>32</v>
      </c>
      <c r="J28" s="125">
        <v>10</v>
      </c>
    </row>
    <row r="29" spans="1:10" x14ac:dyDescent="0.25">
      <c r="A29" s="116" t="s">
        <v>32</v>
      </c>
      <c r="B29" s="125">
        <v>10</v>
      </c>
      <c r="C29" s="116" t="s">
        <v>32</v>
      </c>
      <c r="D29" s="125">
        <v>10</v>
      </c>
      <c r="E29" s="116" t="s">
        <v>32</v>
      </c>
      <c r="F29" s="125">
        <v>10</v>
      </c>
      <c r="G29" s="116" t="s">
        <v>32</v>
      </c>
      <c r="H29" s="125">
        <v>10</v>
      </c>
      <c r="I29" s="116" t="s">
        <v>32</v>
      </c>
      <c r="J29" s="125">
        <v>10</v>
      </c>
    </row>
    <row r="30" spans="1:10" x14ac:dyDescent="0.25">
      <c r="A30" s="116" t="s">
        <v>32</v>
      </c>
      <c r="B30" s="125">
        <v>10</v>
      </c>
      <c r="C30" s="116" t="s">
        <v>32</v>
      </c>
      <c r="D30" s="125">
        <v>10</v>
      </c>
      <c r="E30" s="116" t="s">
        <v>32</v>
      </c>
      <c r="F30" s="125">
        <v>10</v>
      </c>
      <c r="G30" s="116" t="s">
        <v>32</v>
      </c>
      <c r="H30" s="125">
        <v>10</v>
      </c>
      <c r="I30" s="116" t="s">
        <v>32</v>
      </c>
      <c r="J30" s="125">
        <v>10</v>
      </c>
    </row>
    <row r="31" spans="1:10" x14ac:dyDescent="0.25">
      <c r="A31" s="116" t="s">
        <v>32</v>
      </c>
      <c r="B31" s="125">
        <v>10</v>
      </c>
      <c r="C31" s="116" t="s">
        <v>32</v>
      </c>
      <c r="D31" s="125">
        <v>10</v>
      </c>
      <c r="E31" s="116" t="s">
        <v>32</v>
      </c>
      <c r="F31" s="125">
        <v>10</v>
      </c>
      <c r="G31" s="116" t="s">
        <v>32</v>
      </c>
      <c r="H31" s="125">
        <v>10</v>
      </c>
      <c r="I31" s="116" t="s">
        <v>32</v>
      </c>
      <c r="J31" s="125">
        <v>10</v>
      </c>
    </row>
    <row r="32" spans="1:10" x14ac:dyDescent="0.25">
      <c r="A32" s="116" t="s">
        <v>32</v>
      </c>
      <c r="B32" s="125">
        <v>10</v>
      </c>
      <c r="C32" s="116" t="s">
        <v>32</v>
      </c>
      <c r="D32" s="125">
        <v>10</v>
      </c>
      <c r="E32" s="116" t="s">
        <v>32</v>
      </c>
      <c r="F32" s="125">
        <v>10</v>
      </c>
      <c r="G32" s="116" t="s">
        <v>32</v>
      </c>
      <c r="H32" s="125">
        <v>10</v>
      </c>
      <c r="I32" s="116" t="s">
        <v>32</v>
      </c>
      <c r="J32" s="125">
        <v>10</v>
      </c>
    </row>
    <row r="33" spans="1:10" x14ac:dyDescent="0.25">
      <c r="A33" s="116" t="s">
        <v>32</v>
      </c>
      <c r="B33" s="125">
        <v>10</v>
      </c>
      <c r="C33" s="116" t="s">
        <v>32</v>
      </c>
      <c r="D33" s="125">
        <v>10</v>
      </c>
      <c r="E33" s="116" t="s">
        <v>32</v>
      </c>
      <c r="F33" s="125">
        <v>10</v>
      </c>
      <c r="G33" s="116" t="s">
        <v>32</v>
      </c>
      <c r="H33" s="125">
        <v>10</v>
      </c>
      <c r="I33" s="116" t="s">
        <v>32</v>
      </c>
      <c r="J33" s="125">
        <v>10</v>
      </c>
    </row>
    <row r="34" spans="1:10" x14ac:dyDescent="0.25">
      <c r="A34" s="116" t="s">
        <v>32</v>
      </c>
      <c r="B34" s="125">
        <v>10</v>
      </c>
      <c r="C34" s="116" t="s">
        <v>32</v>
      </c>
      <c r="D34" s="125">
        <v>10</v>
      </c>
      <c r="E34" s="116" t="s">
        <v>32</v>
      </c>
      <c r="F34" s="125">
        <v>10</v>
      </c>
      <c r="G34" s="116" t="s">
        <v>32</v>
      </c>
      <c r="H34" s="125">
        <v>10</v>
      </c>
      <c r="I34" s="116" t="s">
        <v>22</v>
      </c>
      <c r="J34" s="125">
        <v>10</v>
      </c>
    </row>
    <row r="35" spans="1:10" x14ac:dyDescent="0.25">
      <c r="A35" s="116" t="s">
        <v>32</v>
      </c>
      <c r="B35" s="125">
        <v>10</v>
      </c>
      <c r="C35" s="116" t="s">
        <v>32</v>
      </c>
      <c r="D35" s="125">
        <v>10</v>
      </c>
      <c r="E35" s="116" t="s">
        <v>32</v>
      </c>
      <c r="F35" s="125">
        <v>10</v>
      </c>
      <c r="G35" s="116" t="s">
        <v>32</v>
      </c>
      <c r="H35" s="125">
        <v>10</v>
      </c>
      <c r="I35" s="116" t="s">
        <v>20</v>
      </c>
      <c r="J35" s="125">
        <v>30</v>
      </c>
    </row>
    <row r="36" spans="1:10" x14ac:dyDescent="0.25">
      <c r="A36" s="116" t="s">
        <v>32</v>
      </c>
      <c r="B36" s="125">
        <v>10</v>
      </c>
      <c r="C36" s="116" t="s">
        <v>32</v>
      </c>
      <c r="D36" s="125">
        <v>10</v>
      </c>
      <c r="E36" s="116" t="s">
        <v>32</v>
      </c>
      <c r="F36" s="125">
        <v>10</v>
      </c>
      <c r="G36" s="116" t="s">
        <v>32</v>
      </c>
      <c r="H36" s="125">
        <v>10</v>
      </c>
      <c r="I36" s="117" t="s">
        <v>23</v>
      </c>
      <c r="J36" s="126">
        <v>10</v>
      </c>
    </row>
    <row r="37" spans="1:10" x14ac:dyDescent="0.25">
      <c r="A37" s="116" t="s">
        <v>32</v>
      </c>
      <c r="B37" s="125">
        <v>10</v>
      </c>
      <c r="C37" s="116" t="s">
        <v>32</v>
      </c>
      <c r="D37" s="125">
        <v>10</v>
      </c>
      <c r="E37" s="116" t="s">
        <v>32</v>
      </c>
      <c r="F37" s="125">
        <v>10</v>
      </c>
      <c r="G37" s="116" t="s">
        <v>32</v>
      </c>
      <c r="H37" s="125">
        <v>10</v>
      </c>
    </row>
    <row r="38" spans="1:10" x14ac:dyDescent="0.25">
      <c r="A38" s="116" t="s">
        <v>32</v>
      </c>
      <c r="B38" s="125">
        <v>10</v>
      </c>
      <c r="C38" s="116" t="s">
        <v>32</v>
      </c>
      <c r="D38" s="125">
        <v>10</v>
      </c>
      <c r="E38" s="116" t="s">
        <v>32</v>
      </c>
      <c r="F38" s="125">
        <v>10</v>
      </c>
      <c r="G38" s="116" t="s">
        <v>32</v>
      </c>
      <c r="H38" s="125">
        <v>10</v>
      </c>
    </row>
    <row r="39" spans="1:10" x14ac:dyDescent="0.25">
      <c r="A39" s="116" t="s">
        <v>32</v>
      </c>
      <c r="B39" s="125">
        <v>10</v>
      </c>
      <c r="C39" s="116" t="s">
        <v>32</v>
      </c>
      <c r="D39" s="125">
        <v>10</v>
      </c>
      <c r="E39" s="116" t="s">
        <v>32</v>
      </c>
      <c r="F39" s="125">
        <v>10</v>
      </c>
      <c r="G39" s="116" t="s">
        <v>32</v>
      </c>
      <c r="H39" s="125">
        <v>10</v>
      </c>
    </row>
    <row r="40" spans="1:10" x14ac:dyDescent="0.25">
      <c r="A40" s="116" t="s">
        <v>32</v>
      </c>
      <c r="B40" s="125">
        <v>10</v>
      </c>
      <c r="C40" s="116" t="s">
        <v>32</v>
      </c>
      <c r="D40" s="125">
        <v>10</v>
      </c>
      <c r="E40" s="116" t="s">
        <v>32</v>
      </c>
      <c r="F40" s="125">
        <v>10</v>
      </c>
      <c r="G40" s="116" t="s">
        <v>32</v>
      </c>
      <c r="H40" s="125">
        <v>10</v>
      </c>
    </row>
    <row r="41" spans="1:10" x14ac:dyDescent="0.25">
      <c r="A41" s="116" t="s">
        <v>32</v>
      </c>
      <c r="B41" s="125">
        <v>10</v>
      </c>
      <c r="C41" s="116" t="s">
        <v>32</v>
      </c>
      <c r="D41" s="125">
        <v>10</v>
      </c>
      <c r="E41" s="116" t="s">
        <v>32</v>
      </c>
      <c r="F41" s="125">
        <v>10</v>
      </c>
      <c r="G41" s="116" t="s">
        <v>32</v>
      </c>
      <c r="H41" s="125">
        <v>10</v>
      </c>
    </row>
    <row r="42" spans="1:10" x14ac:dyDescent="0.25">
      <c r="A42" s="116" t="s">
        <v>32</v>
      </c>
      <c r="B42" s="125">
        <v>10</v>
      </c>
      <c r="C42" s="116" t="s">
        <v>32</v>
      </c>
      <c r="D42" s="125">
        <v>10</v>
      </c>
      <c r="E42" s="116" t="s">
        <v>32</v>
      </c>
      <c r="F42" s="125">
        <v>10</v>
      </c>
      <c r="G42" s="116" t="s">
        <v>32</v>
      </c>
      <c r="H42" s="125">
        <v>10</v>
      </c>
    </row>
    <row r="43" spans="1:10" x14ac:dyDescent="0.25">
      <c r="A43" s="116" t="s">
        <v>32</v>
      </c>
      <c r="B43" s="125">
        <v>10</v>
      </c>
      <c r="C43" s="116" t="s">
        <v>32</v>
      </c>
      <c r="D43" s="125">
        <v>10</v>
      </c>
      <c r="E43" s="116" t="s">
        <v>32</v>
      </c>
      <c r="F43" s="125">
        <v>10</v>
      </c>
      <c r="G43" s="116" t="s">
        <v>32</v>
      </c>
      <c r="H43" s="125">
        <v>10</v>
      </c>
    </row>
    <row r="44" spans="1:10" x14ac:dyDescent="0.25">
      <c r="A44" s="116" t="s">
        <v>32</v>
      </c>
      <c r="B44" s="125">
        <v>10</v>
      </c>
      <c r="C44" s="116" t="s">
        <v>32</v>
      </c>
      <c r="D44" s="125">
        <v>10</v>
      </c>
      <c r="E44" s="116" t="s">
        <v>32</v>
      </c>
      <c r="F44" s="125">
        <v>10</v>
      </c>
      <c r="G44" s="116" t="s">
        <v>32</v>
      </c>
      <c r="H44" s="125">
        <v>10</v>
      </c>
    </row>
    <row r="45" spans="1:10" x14ac:dyDescent="0.25">
      <c r="A45" s="117" t="s">
        <v>32</v>
      </c>
      <c r="B45" s="126">
        <v>10</v>
      </c>
      <c r="C45" s="117" t="s">
        <v>32</v>
      </c>
      <c r="D45" s="126">
        <v>10</v>
      </c>
      <c r="E45" s="117" t="s">
        <v>32</v>
      </c>
      <c r="F45" s="126">
        <v>10</v>
      </c>
      <c r="G45" s="117" t="s">
        <v>32</v>
      </c>
      <c r="H45" s="126">
        <v>10</v>
      </c>
    </row>
  </sheetData>
  <mergeCells count="10">
    <mergeCell ref="G12:H12"/>
    <mergeCell ref="G20:H20"/>
    <mergeCell ref="I12:J12"/>
    <mergeCell ref="I20:J20"/>
    <mergeCell ref="A12:B12"/>
    <mergeCell ref="A20:B20"/>
    <mergeCell ref="C12:D12"/>
    <mergeCell ref="C20:D20"/>
    <mergeCell ref="E12:F12"/>
    <mergeCell ref="E20:F20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Instruction</vt:lpstr>
      <vt:lpstr>base </vt:lpstr>
      <vt:lpstr>clara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2024-02-16T18:01:15Z</dcterms:created>
  <dcterms:modified xsi:type="dcterms:W3CDTF">2024-03-17T07:25:33Z</dcterms:modified>
</cp:coreProperties>
</file>